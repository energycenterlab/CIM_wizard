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localSheetId="9" name="OLE_LINK1">Materiali!$C$2</definedName>
    <definedName name="pvs_t">#REF!</definedName>
    <definedName name="imese">#REF!</definedName>
    <definedName name="tsat">#REF!</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<sst xmlns="http://schemas.openxmlformats.org/spreadsheetml/2006/main" count="1624" uniqueCount="659">
  <si>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</si>
  <si>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</si>
  <si>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</si>
  <si>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</si>
  <si>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</si>
  <si>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</si>
  <si>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</si>
  <si>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</si>
  <si>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</si>
  <si>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</si>
  <si>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</si>
  <si>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</si>
  <si>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</si>
  <si>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</si>
  <si>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</si>
  <si>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</si>
  <si>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</si>
  <si>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</si>
  <si>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</si>
  <si>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</si>
  <si>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</si>
  <si>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</si>
  <si>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</si>
  <si>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</si>
  <si>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</si>
  <si>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</si>
  <si>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</si>
  <si>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</si>
  <si>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</si>
  <si>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</si>
  <si>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</si>
  <si>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</si>
  <si>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</si>
  <si>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</si>
  <si>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</si>
  <si>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</si>
  <si>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</si>
  <si>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</si>
  <si>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</si>
  <si>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</si>
  <si>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</si>
  <si>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</si>
  <si>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pieno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</si>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</sst>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961092600"/>
        <c:axId val="1580444496"/>
      </c:scatterChart>
      <c:valAx>
        <c:axId val="96109260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80444496"/>
      </c:valAx>
      <c:valAx>
        <c:axId val="158044449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6109260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770247161"/>
        <c:axId val="1661100604"/>
      </c:scatterChart>
      <c:valAx>
        <c:axId val="77024716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61100604"/>
      </c:valAx>
      <c:valAx>
        <c:axId val="166110060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7024716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434256591"/>
        <c:axId val="1083785780"/>
      </c:scatterChart>
      <c:valAx>
        <c:axId val="143425659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83785780"/>
      </c:valAx>
      <c:valAx>
        <c:axId val="108378578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425659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61753588"/>
        <c:axId val="2080003032"/>
      </c:scatterChart>
      <c:valAx>
        <c:axId val="16175358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0003032"/>
      </c:valAx>
      <c:valAx>
        <c:axId val="2080003032"/>
        <c:scaling>
          <c:orientation val="minMax"/>
        </c:scaling>
        <c:delete val="0"/>
        <c:axPos val="l"/>
        <c:tickLblPos val="nextTo"/>
        <c:spPr>
          <a:ln>
            <a:noFill/>
          </a:ln>
        </c:spPr>
        <c:crossAx val="16175358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051229442"/>
        <c:axId val="340640614"/>
      </c:scatterChart>
      <c:valAx>
        <c:axId val="205122944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0640614"/>
      </c:valAx>
      <c:valAx>
        <c:axId val="340640614"/>
        <c:scaling>
          <c:orientation val="minMax"/>
        </c:scaling>
        <c:delete val="0"/>
        <c:axPos val="l"/>
        <c:tickLblPos val="nextTo"/>
        <c:spPr>
          <a:ln>
            <a:noFill/>
          </a:ln>
        </c:spPr>
        <c:crossAx val="205122944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098007542"/>
        <c:axId val="1371115692"/>
      </c:scatterChart>
      <c:valAx>
        <c:axId val="10980075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1115692"/>
      </c:valAx>
      <c:valAx>
        <c:axId val="137111569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8007542"/>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1.5</v>
      </c>
      <c r="E7" s="60">
        <v>1400.0</v>
      </c>
      <c r="F7" s="61"/>
      <c r="G7" s="62"/>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35.0</v>
      </c>
      <c r="E8" s="74">
        <v>1800.0</v>
      </c>
      <c r="F8" s="75"/>
      <c r="G8" s="76"/>
      <c r="H8" s="77">
        <v>0.75</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1.5</v>
      </c>
      <c r="E9" s="74"/>
      <c r="F9" s="75"/>
      <c r="G9" s="76"/>
      <c r="H9" s="77">
        <v>0.9</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t="str">
        <f>'Calcoli componente'!$E$44</f>
        <v>#DIV/0!</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0.6747619048</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1.482004234</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38</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651</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1.5</v>
      </c>
      <c r="D7" s="141">
        <f>IF('Caratteristiche componente'!E7&lt;&gt;"",'Caratteristiche componente'!E7,"")</f>
        <v>1400</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0.7</v>
      </c>
      <c r="H7" s="144" t="str">
        <f t="shared" ref="H7:H16" si="1">IF($C7&gt;0,IF(OR($B7="intercapedine",$B7="aria"),$C7/100/$K7,$G7)/($D7*$F7),"")</f>
        <v>#DIV/0!</v>
      </c>
      <c r="I7" s="145">
        <f t="shared" ref="I7:I16" si="2">IF($C7&gt;0,$C7/100*$D7,0)</f>
        <v>21</v>
      </c>
      <c r="J7" s="146">
        <f>IF($C7&gt;0,IF(OR('Caratteristiche componente'!$C7="intercapedine",'Caratteristiche componente'!$C7="aria",'Caratteristiche componente'!$C7="intercapedine d'aria"),0.01,$C7/100*$E7),0)</f>
        <v>0</v>
      </c>
      <c r="K7" s="147">
        <f t="shared" ref="K7:K16" si="3">IF($C7&gt;0,IF(OR($B7="*intercapedine",$B7="*aria"),0.158,$C7/100/$G7),0)</f>
        <v>0.02142857143</v>
      </c>
      <c r="L7" s="147">
        <f t="shared" ref="L7:L17" si="4">IF($C7&gt;0,1/$K7,"")</f>
        <v>46.66666667</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pieno</v>
      </c>
      <c r="C8" s="156">
        <f>'Caratteristiche componente'!D8</f>
        <v>35</v>
      </c>
      <c r="D8" s="74">
        <f>IF('Caratteristiche componente'!E8&lt;&gt;"",'Caratteristiche componente'!E8,"")</f>
        <v>1800</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0.75</v>
      </c>
      <c r="H8" s="157" t="str">
        <f t="shared" si="1"/>
        <v>#DIV/0!</v>
      </c>
      <c r="I8" s="158">
        <f t="shared" si="2"/>
        <v>630</v>
      </c>
      <c r="J8" s="159">
        <f>IF($C8&gt;0,IF(OR('Caratteristiche componente'!$C8="intercapedine",'Caratteristiche componente'!$C8="aria",'Caratteristiche componente'!$C8="intercapedine d'aria"),0.01,$C8/100*$E8),0)</f>
        <v>0</v>
      </c>
      <c r="K8" s="160">
        <f t="shared" si="3"/>
        <v>0.4666666667</v>
      </c>
      <c r="L8" s="160">
        <f t="shared" si="4"/>
        <v>2.142857143</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int.est</v>
      </c>
      <c r="C9" s="156">
        <f>'Caratteristiche componente'!D9</f>
        <v>1.5</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0.9</v>
      </c>
      <c r="H9" s="157" t="str">
        <f t="shared" si="1"/>
        <v>#DIV/0!</v>
      </c>
      <c r="I9" s="158">
        <f t="shared" si="2"/>
        <v>0</v>
      </c>
      <c r="J9" s="159">
        <f>IF($C9&gt;0,IF(OR('Caratteristiche componente'!$C9="intercapedine",'Caratteristiche componente'!$C9="aria",'Caratteristiche componente'!$C9="intercapedine d'aria"),0.01,$C9/100*$E9),0)</f>
        <v>0</v>
      </c>
      <c r="K9" s="160">
        <f t="shared" si="3"/>
        <v>0.01666666667</v>
      </c>
      <c r="L9" s="160">
        <f t="shared" si="4"/>
        <v>60</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38</v>
      </c>
      <c r="D17" s="188"/>
      <c r="E17" s="190"/>
      <c r="F17" s="190"/>
      <c r="G17" s="190"/>
      <c r="H17" s="191"/>
      <c r="I17" s="192">
        <f t="shared" ref="I17:K17" si="32">SUM(I$7:I$16)</f>
        <v>651</v>
      </c>
      <c r="J17" s="193">
        <f t="shared" si="32"/>
        <v>0</v>
      </c>
      <c r="K17" s="193">
        <f t="shared" si="32"/>
        <v>0.5047619048</v>
      </c>
      <c r="L17" s="194">
        <f t="shared" si="4"/>
        <v>1.981132075</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0.6747619048</v>
      </c>
      <c r="L26" s="216">
        <f>1/$K$26</f>
        <v>1.482004234</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156</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1.5</v>
      </c>
      <c r="D7" s="347" t="str">
        <f>'Calcoli componente'!E7</f>
        <v/>
      </c>
      <c r="E7" s="348">
        <f>'Calcoli componente'!G7</f>
        <v>0.7</v>
      </c>
      <c r="F7" s="349">
        <f>'Calcoli componente'!J7</f>
        <v>0</v>
      </c>
      <c r="G7" s="350">
        <f>'Calcoli componente'!K7</f>
        <v>0.02142857143</v>
      </c>
      <c r="H7" s="282"/>
      <c r="I7" s="328" t="s">
        <v>366</v>
      </c>
      <c r="J7" s="351">
        <f>0</f>
        <v>0</v>
      </c>
      <c r="K7" s="352">
        <f>K6-(K$6-K$18)*0.25/$G$19</f>
        <v>13.83463152</v>
      </c>
      <c r="L7" s="309" t="str">
        <f t="shared" si="1"/>
        <v>#NAME?</v>
      </c>
      <c r="M7" s="309">
        <f>M6</f>
        <v>1389.18</v>
      </c>
      <c r="N7" s="309">
        <v>0.0</v>
      </c>
      <c r="O7" s="309" t="str">
        <f>IF(AND(N7&gt;0,N7=MAX(N$7:N$17)),1,0)</f>
        <v>#DIV/0!</v>
      </c>
      <c r="P7" s="309">
        <f>M7</f>
        <v>1389.18</v>
      </c>
      <c r="Q7" s="250" t="str">
        <f>0.0000000002*(P7-P8)/($J8-$J7)</f>
        <v>#DIV/0!</v>
      </c>
      <c r="R7" s="352">
        <f>R6-(R$6-R$18)*0.25/$G$19</f>
        <v>14.71539844</v>
      </c>
      <c r="S7" s="309" t="str">
        <f t="shared" si="2"/>
        <v>#NAME?</v>
      </c>
      <c r="T7" s="309">
        <f>T6</f>
        <v>1354.44</v>
      </c>
      <c r="U7" s="309">
        <v>0.0</v>
      </c>
      <c r="V7" s="309" t="str">
        <f>IF(AND(U7&gt;0,U7=MAX(U$7:U$17)),1,0)</f>
        <v>#DIV/0!</v>
      </c>
      <c r="W7" s="309">
        <f>T7</f>
        <v>1354.44</v>
      </c>
      <c r="X7" s="250" t="str">
        <f>0.0000000002*(W7-W8)/($J8-$J7)</f>
        <v>#DIV/0!</v>
      </c>
      <c r="Y7" s="352">
        <f>Y6-(Y$6-Y$18)*0.25/$G$19</f>
        <v>16.28819652</v>
      </c>
      <c r="Z7" s="309" t="str">
        <f t="shared" si="3"/>
        <v>#NAME?</v>
      </c>
      <c r="AA7" s="309">
        <f>AA6</f>
        <v>1108.69</v>
      </c>
      <c r="AB7" s="309">
        <v>0.0</v>
      </c>
      <c r="AC7" s="309" t="str">
        <f>IF(AND(AB7&gt;0,AB7=MAX(AB$7:AB$17)),1,0)</f>
        <v>#DIV/0!</v>
      </c>
      <c r="AD7" s="309">
        <f>AA7</f>
        <v>1108.69</v>
      </c>
      <c r="AE7" s="250" t="str">
        <f>0.0000000002*(AD7-AD8)/($J8-$J7)</f>
        <v>#DIV/0!</v>
      </c>
      <c r="AF7" s="352">
        <f>AF6-(AF$6-AF$18)*0.25/$G$19</f>
        <v>17.7037148</v>
      </c>
      <c r="AG7" s="309" t="str">
        <f t="shared" si="4"/>
        <v>#NAME?</v>
      </c>
      <c r="AH7" s="309">
        <f>AH6</f>
        <v>1129.215</v>
      </c>
      <c r="AI7" s="309">
        <v>0.0</v>
      </c>
      <c r="AJ7" s="309" t="str">
        <f>IF(AND(AI7&gt;0,AI7=MAX(AI$7:AI$17)),1,0)</f>
        <v>#DIV/0!</v>
      </c>
      <c r="AK7" s="309">
        <f>AH7</f>
        <v>1129.215</v>
      </c>
      <c r="AL7" s="250" t="str">
        <f>0.0000000002*(AK7-AK8)/($J8-$J7)</f>
        <v>#DIV/0!</v>
      </c>
      <c r="AM7" s="352">
        <f>AM6-(AM$6-AM$18)*0.25/$G$19</f>
        <v>18.96195327</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19.62252846</v>
      </c>
      <c r="BP7" s="309" t="str">
        <f t="shared" si="9"/>
        <v>#NAME?</v>
      </c>
      <c r="BQ7" s="309">
        <f>BQ6</f>
        <v>1557.46</v>
      </c>
      <c r="BR7" s="309">
        <v>0.0</v>
      </c>
      <c r="BS7" s="309" t="str">
        <f>IF(AND(BR7&gt;0,BR7=MAX(BR$7:BR$17)),1,0)</f>
        <v>#DIV/0!</v>
      </c>
      <c r="BT7" s="309">
        <f>BQ7</f>
        <v>1557.46</v>
      </c>
      <c r="BU7" s="250" t="str">
        <f>0.0000000002*(BT7-BT8)/($J8-$J7)</f>
        <v>#DIV/0!</v>
      </c>
      <c r="BV7" s="352">
        <f>BV6-(BV$6-BV$18)*0.25/$G$19</f>
        <v>17.67225884</v>
      </c>
      <c r="BW7" s="309" t="str">
        <f t="shared" si="10"/>
        <v>#NAME?</v>
      </c>
      <c r="BX7" s="309">
        <f>BX6</f>
        <v>1509.67</v>
      </c>
      <c r="BY7" s="309">
        <v>0.0</v>
      </c>
      <c r="BZ7" s="309" t="str">
        <f>IF(AND(BY7&gt;0,BY7=MAX(BY$7:BY$17)),1,0)</f>
        <v>#DIV/0!</v>
      </c>
      <c r="CA7" s="309">
        <f>BX7</f>
        <v>1509.67</v>
      </c>
      <c r="CB7" s="250" t="str">
        <f>0.0000000002*(CA7-CA8)/($J8-$J7)</f>
        <v>#DIV/0!</v>
      </c>
      <c r="CC7" s="352">
        <f>CC6-(CC$6-CC$18)*0.25/$G$19</f>
        <v>15.84781306</v>
      </c>
      <c r="CD7" s="309" t="str">
        <f t="shared" si="11"/>
        <v>#NAME?</v>
      </c>
      <c r="CE7" s="309">
        <f>CE6</f>
        <v>1429.06</v>
      </c>
      <c r="CF7" s="309">
        <v>0.0</v>
      </c>
      <c r="CG7" s="309" t="str">
        <f>IF(AND(CF7&gt;0,CF7=MAX(CF$7:CF$17)),1,0)</f>
        <v>#DIV/0!</v>
      </c>
      <c r="CH7" s="309">
        <f>CE7</f>
        <v>1429.06</v>
      </c>
      <c r="CI7" s="250" t="str">
        <f>0.0000000002*(CH7-CH8)/($J8-$J7)</f>
        <v>#DIV/0!</v>
      </c>
      <c r="CJ7" s="352">
        <f>CJ6-(CJ$6-CJ$18)*0.25/$G$19</f>
        <v>14.3379269</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laterizio pieno</v>
      </c>
      <c r="C8" s="354">
        <f>'Calcoli componente'!C8</f>
        <v>35</v>
      </c>
      <c r="D8" s="308" t="str">
        <f>'Calcoli componente'!E8</f>
        <v/>
      </c>
      <c r="E8" s="355">
        <f>'Calcoli componente'!G8</f>
        <v>0.75</v>
      </c>
      <c r="F8" s="356">
        <f>'Calcoli componente'!J8</f>
        <v>0</v>
      </c>
      <c r="G8" s="357">
        <f>'Calcoli componente'!K8</f>
        <v>0.4666666667</v>
      </c>
      <c r="H8" s="282"/>
      <c r="I8" s="328" t="s">
        <v>367</v>
      </c>
      <c r="J8" s="351">
        <f t="shared" ref="J8:J17" si="13">J7+F7</f>
        <v>0</v>
      </c>
      <c r="K8" s="352">
        <f t="shared" ref="K8:K17" si="14">K7-(K$6-K$18)*$G7/$G$19</f>
        <v>13.30617136</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14.26243259</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15.97004194</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17.50689035</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18.87297783</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19.59017376</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17.47273817</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15.49191132</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13.85260635</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3" t="str">
        <f>IF('Caratteristiche componente'!C9&lt;&gt;"",'Caratteristiche componente'!C9,"")</f>
        <v>int.est</v>
      </c>
      <c r="C9" s="354">
        <f>'Calcoli componente'!C9</f>
        <v>1.5</v>
      </c>
      <c r="D9" s="308" t="str">
        <f>'Calcoli componente'!E9</f>
        <v/>
      </c>
      <c r="E9" s="355">
        <f>'Calcoli componente'!G9</f>
        <v>0.9</v>
      </c>
      <c r="F9" s="356">
        <f>'Calcoli componente'!J9</f>
        <v>0</v>
      </c>
      <c r="G9" s="357">
        <f>'Calcoli componente'!K9</f>
        <v>0.01666666667</v>
      </c>
      <c r="H9" s="282"/>
      <c r="I9" s="328" t="s">
        <v>368</v>
      </c>
      <c r="J9" s="351">
        <f t="shared" si="13"/>
        <v>0</v>
      </c>
      <c r="K9" s="352">
        <f t="shared" si="14"/>
        <v>1.797483523</v>
      </c>
      <c r="L9" s="309" t="str">
        <f t="shared" si="1"/>
        <v>#NAME?</v>
      </c>
      <c r="M9" s="309" t="str">
        <f t="shared" si="15"/>
        <v>#DIV/0!</v>
      </c>
      <c r="N9" s="309" t="str">
        <f t="shared" si="16"/>
        <v>#DIV/0!</v>
      </c>
      <c r="O9" s="309" t="str">
        <f>IF(AND(N9&gt;0,N9=MAX(N$7:N$17)),3,0)</f>
        <v>#DIV/0!</v>
      </c>
      <c r="P9" s="309">
        <f t="shared" si="17"/>
        <v>1389.18</v>
      </c>
      <c r="Q9" s="250" t="str">
        <f t="shared" si="18"/>
        <v>#DIV/0!</v>
      </c>
      <c r="R9" s="352">
        <f t="shared" si="19"/>
        <v>4.39784302</v>
      </c>
      <c r="S9" s="309" t="str">
        <f t="shared" si="2"/>
        <v>#NAME?</v>
      </c>
      <c r="T9" s="309" t="str">
        <f t="shared" si="20"/>
        <v>#DIV/0!</v>
      </c>
      <c r="U9" s="309" t="str">
        <f t="shared" si="21"/>
        <v>#DIV/0!</v>
      </c>
      <c r="V9" s="309" t="str">
        <f>IF(AND(U9&gt;0,U9=MAX(U$7:U$17)),3,0)</f>
        <v>#DIV/0!</v>
      </c>
      <c r="W9" s="309">
        <f t="shared" si="22"/>
        <v>1354.44</v>
      </c>
      <c r="X9" s="250" t="str">
        <f t="shared" si="23"/>
        <v>#DIV/0!</v>
      </c>
      <c r="Y9" s="352">
        <f t="shared" si="24"/>
        <v>9.041342121</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13.22049131</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16.93529059</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18.88556022</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13.12762133</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7.741162373</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3.283403235</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0</v>
      </c>
      <c r="K10" s="352">
        <f t="shared" si="14"/>
        <v>1.386458957</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4.045536249</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8.793888556</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13.06740563</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16.86608748</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18.86039545</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12.97243859</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7.46434991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2.905931696</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0</v>
      </c>
      <c r="K11" s="352">
        <f t="shared" si="14"/>
        <v>1.386458957</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4.045536249</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8.793888556</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13.06740563</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16.86608748</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18.86039545</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12.97243859</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7.46434991</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2.905931696</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0</v>
      </c>
      <c r="K12" s="352">
        <f t="shared" si="14"/>
        <v>1.386458957</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4.045536249</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8.793888556</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13.06740563</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16.86608748</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18.86039545</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12.97243859</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7.46434991</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2.905931696</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0</v>
      </c>
      <c r="K13" s="352">
        <f t="shared" si="14"/>
        <v>1.386458957</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4.045536249</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8.793888556</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13.06740563</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16.86608748</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18.86039545</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12.97243859</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7.46434991</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2.905931696</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0</v>
      </c>
      <c r="K14" s="352">
        <f t="shared" si="14"/>
        <v>1.386458957</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4.045536249</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8.793888556</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13.06740563</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16.86608748</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18.86039545</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12.97243859</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7.46434991</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2.905931696</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0</v>
      </c>
      <c r="K15" s="352">
        <f t="shared" si="14"/>
        <v>1.386458957</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4.045536249</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8.793888556</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13.06740563</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16.86608748</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18.86039545</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12.97243859</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7.46434991</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2.905931696</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0</v>
      </c>
      <c r="K16" s="352">
        <f t="shared" si="14"/>
        <v>1.386458957</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4.045536249</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8.793888556</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13.06740563</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16.86608748</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18.86039545</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12.97243859</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7.46434991</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2.905931696</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110</v>
      </c>
      <c r="B17" s="363"/>
      <c r="C17" s="364">
        <f>SUM(C$7:C$16)</f>
        <v>38</v>
      </c>
      <c r="D17" s="363"/>
      <c r="E17" s="365"/>
      <c r="F17" s="366">
        <f t="shared" ref="F17:G17" si="74">SUM(F$7:F$16)</f>
        <v>0</v>
      </c>
      <c r="G17" s="367">
        <f t="shared" si="74"/>
        <v>0.5047619048</v>
      </c>
      <c r="H17" s="282"/>
      <c r="I17" s="328" t="s">
        <v>376</v>
      </c>
      <c r="J17" s="351">
        <f t="shared" si="13"/>
        <v>0</v>
      </c>
      <c r="K17" s="352">
        <f t="shared" si="14"/>
        <v>1.386458957</v>
      </c>
      <c r="L17" s="309" t="str">
        <f t="shared" si="1"/>
        <v>#NAME?</v>
      </c>
      <c r="M17" s="309">
        <f>M18</f>
        <v>516</v>
      </c>
      <c r="N17" s="309" t="str">
        <f t="shared" si="16"/>
        <v>#NAME?</v>
      </c>
      <c r="O17" s="309" t="str">
        <f>IF(AND(N17&gt;0,N17=MAX(N$7:N$17)),11,0)</f>
        <v>#NAME?</v>
      </c>
      <c r="P17" s="309">
        <f>M17</f>
        <v>516</v>
      </c>
      <c r="Q17" s="368"/>
      <c r="R17" s="352">
        <f t="shared" si="19"/>
        <v>4.045536249</v>
      </c>
      <c r="S17" s="309" t="str">
        <f t="shared" si="2"/>
        <v>#NAME?</v>
      </c>
      <c r="T17" s="309">
        <f>T18</f>
        <v>606</v>
      </c>
      <c r="U17" s="309" t="str">
        <f t="shared" si="21"/>
        <v>#NAME?</v>
      </c>
      <c r="V17" s="309" t="str">
        <f>IF(AND(U17&gt;0,U17=MAX(U$7:U$17)),11,0)</f>
        <v>#NAME?</v>
      </c>
      <c r="W17" s="309">
        <f>T17</f>
        <v>606</v>
      </c>
      <c r="X17" s="368"/>
      <c r="Y17" s="352">
        <f t="shared" si="24"/>
        <v>8.793888556</v>
      </c>
      <c r="Z17" s="309" t="str">
        <f t="shared" si="3"/>
        <v>#NAME?</v>
      </c>
      <c r="AA17" s="309">
        <f>AA18</f>
        <v>583</v>
      </c>
      <c r="AB17" s="309" t="str">
        <f t="shared" si="26"/>
        <v>#NAME?</v>
      </c>
      <c r="AC17" s="309" t="str">
        <f>IF(AND(AB17&gt;0,AB17=MAX(AB$7:AB$17)),11,0)</f>
        <v>#NAME?</v>
      </c>
      <c r="AD17" s="309">
        <f>AA17</f>
        <v>583</v>
      </c>
      <c r="AE17" s="368"/>
      <c r="AF17" s="352">
        <f t="shared" si="29"/>
        <v>13.06740563</v>
      </c>
      <c r="AG17" s="309" t="str">
        <f t="shared" si="4"/>
        <v>#NAME?</v>
      </c>
      <c r="AH17" s="309">
        <f>AH18</f>
        <v>804</v>
      </c>
      <c r="AI17" s="309" t="str">
        <f t="shared" si="31"/>
        <v>#NAME?</v>
      </c>
      <c r="AJ17" s="309" t="str">
        <f>IF(AND(AI17&gt;0,AI17=MAX(AI$7:AI$17)),11,0)</f>
        <v>#NAME?</v>
      </c>
      <c r="AK17" s="309">
        <f>AH17</f>
        <v>804</v>
      </c>
      <c r="AL17" s="368"/>
      <c r="AM17" s="352">
        <f t="shared" si="34"/>
        <v>16.86608748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18.86039545</v>
      </c>
      <c r="BP17" s="309" t="str">
        <f t="shared" si="9"/>
        <v>#NAME?</v>
      </c>
      <c r="BQ17" s="309">
        <f>BQ18</f>
        <v>1504</v>
      </c>
      <c r="BR17" s="309" t="str">
        <f t="shared" si="56"/>
        <v>#NAME?</v>
      </c>
      <c r="BS17" s="309" t="str">
        <f>IF(AND(BR17&gt;0,BR17=MAX(BR$7:BR$17)),11,0)</f>
        <v>#NAME?</v>
      </c>
      <c r="BT17" s="309">
        <f>BQ17</f>
        <v>1504</v>
      </c>
      <c r="BU17" s="368"/>
      <c r="BV17" s="352">
        <f t="shared" si="59"/>
        <v>12.97243859</v>
      </c>
      <c r="BW17" s="309" t="str">
        <f t="shared" si="10"/>
        <v>#NAME?</v>
      </c>
      <c r="BX17" s="309">
        <f>BX18</f>
        <v>1180</v>
      </c>
      <c r="BY17" s="309" t="str">
        <f t="shared" si="61"/>
        <v>#NAME?</v>
      </c>
      <c r="BZ17" s="309" t="str">
        <f>IF(AND(BY17&gt;0,BY17=MAX(BY$7:BY$17)),11,0)</f>
        <v>#NAME?</v>
      </c>
      <c r="CA17" s="309">
        <f>BX17</f>
        <v>1180</v>
      </c>
      <c r="CB17" s="368"/>
      <c r="CC17" s="352">
        <f t="shared" si="64"/>
        <v>7.46434991</v>
      </c>
      <c r="CD17" s="309" t="str">
        <f t="shared" si="11"/>
        <v>#NAME?</v>
      </c>
      <c r="CE17" s="309">
        <f>CE18</f>
        <v>841</v>
      </c>
      <c r="CF17" s="309" t="str">
        <f t="shared" si="66"/>
        <v>#NAME?</v>
      </c>
      <c r="CG17" s="309" t="str">
        <f>IF(AND(CF17&gt;0,CF17=MAX(CF$7:CF$17)),11,0)</f>
        <v>#NAME?</v>
      </c>
      <c r="CH17" s="309">
        <f>CE17</f>
        <v>841</v>
      </c>
      <c r="CI17" s="368"/>
      <c r="CJ17" s="352">
        <f t="shared" si="69"/>
        <v>2.905931696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0.7947619048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0.6854403835</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655</v>
      </c>
      <c r="F4" s="428">
        <f>'Calcoli componente'!L26</f>
        <v>1.482004234</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1.5</v>
      </c>
      <c r="C5" s="426">
        <f>C4+'Caratteristiche componente'!$D7</f>
        <v>1.5</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36.5</v>
      </c>
      <c r="C6" s="426">
        <f>C5+'Caratteristiche componente'!$D8</f>
        <v>36.5</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38</v>
      </c>
      <c r="C7" s="426">
        <f>C6+'Caratteristiche componente'!$D9</f>
        <v>38</v>
      </c>
      <c r="D7" s="395"/>
      <c r="E7" s="395" t="s">
        <v>656</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38</v>
      </c>
      <c r="C8" s="426">
        <f>C7+'Caratteristiche componente'!$D10</f>
        <v>38</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38</v>
      </c>
      <c r="C9" s="426">
        <f>C8+'Caratteristiche componente'!$D11</f>
        <v>38</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38</v>
      </c>
      <c r="C10" s="426">
        <f>C9+'Caratteristiche componente'!$D12</f>
        <v>38</v>
      </c>
      <c r="D10" s="395"/>
      <c r="E10" s="395" t="s">
        <v>657</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38</v>
      </c>
      <c r="C11" s="426">
        <f>C10+'Caratteristiche componente'!$D13</f>
        <v>38</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38</v>
      </c>
      <c r="C12" s="426">
        <f>C11+'Caratteristiche componente'!$D14</f>
        <v>38</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38</v>
      </c>
      <c r="C13" s="426">
        <f>C12+'Caratteristiche componente'!$D15</f>
        <v>38</v>
      </c>
      <c r="D13" s="395"/>
      <c r="E13" s="395" t="s">
        <v>658</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38</v>
      </c>
      <c r="C14" s="426">
        <f>C13+'Caratteristiche componente'!$D16</f>
        <v>38</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