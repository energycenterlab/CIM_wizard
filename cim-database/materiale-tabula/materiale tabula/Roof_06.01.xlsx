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imese">#REF!</definedName>
    <definedName name="ngiorni">#REF!</definedName>
    <definedName localSheetId="9" name="OLE_LINK1">Materiali!$C$2</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<sst xmlns="http://schemas.openxmlformats.org/spreadsheetml/2006/main" count="1623" uniqueCount="658">
  <si>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</si>
  <si>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</si>
  <si>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</si>
  <si>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</si>
  <si>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</si>
  <si>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</si>
  <si>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</si>
  <si>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</si>
  <si>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</si>
  <si>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</si>
  <si>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</si>
  <si>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</si>
  <si>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</si>
  <si>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</si>
  <si>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</si>
  <si>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</si>
  <si>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</si>
  <si>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</si>
  <si>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</si>
  <si>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</si>
  <si>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</si>
  <si>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</si>
  <si>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</si>
  <si>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</si>
  <si>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</si>
  <si>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</si>
  <si>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</si>
  <si>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</si>
  <si>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</si>
  <si>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</si>
  <si>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</si>
  <si>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</si>
  <si>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</si>
  <si>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</si>
  <si>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</si>
  <si>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</si>
  <si>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</si>
  <si>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</si>
  <si>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</si>
  <si>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isolante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</si>
  <si>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</si>
  <si>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</si>
  <si>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</si>
  <si>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legno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</si>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</sst>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030026756"/>
        <c:axId val="1356630538"/>
      </c:scatterChart>
      <c:valAx>
        <c:axId val="203002675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6630538"/>
      </c:valAx>
      <c:valAx>
        <c:axId val="135663053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002675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469279130"/>
        <c:axId val="555154957"/>
      </c:scatterChart>
      <c:valAx>
        <c:axId val="46927913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5154957"/>
      </c:valAx>
      <c:valAx>
        <c:axId val="55515495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9279130"/>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13808526"/>
        <c:axId val="981551139"/>
      </c:scatterChart>
      <c:valAx>
        <c:axId val="131380852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1551139"/>
      </c:valAx>
      <c:valAx>
        <c:axId val="98155113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380852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904429444"/>
        <c:axId val="563377947"/>
      </c:scatterChart>
      <c:valAx>
        <c:axId val="90442944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3377947"/>
      </c:valAx>
      <c:valAx>
        <c:axId val="563377947"/>
        <c:scaling>
          <c:orientation val="minMax"/>
        </c:scaling>
        <c:delete val="0"/>
        <c:axPos val="l"/>
        <c:tickLblPos val="nextTo"/>
        <c:spPr>
          <a:ln>
            <a:noFill/>
          </a:ln>
        </c:spPr>
        <c:crossAx val="90442944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18845375"/>
        <c:axId val="1166277914"/>
      </c:scatterChart>
      <c:valAx>
        <c:axId val="111884537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6277914"/>
      </c:valAx>
      <c:valAx>
        <c:axId val="1166277914"/>
        <c:scaling>
          <c:orientation val="minMax"/>
        </c:scaling>
        <c:delete val="0"/>
        <c:axPos val="l"/>
        <c:tickLblPos val="nextTo"/>
        <c:spPr>
          <a:ln>
            <a:noFill/>
          </a:ln>
        </c:spPr>
        <c:crossAx val="111884537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372527128"/>
        <c:axId val="973126084"/>
      </c:scatterChart>
      <c:valAx>
        <c:axId val="13725271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3126084"/>
      </c:valAx>
      <c:valAx>
        <c:axId val="97312608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252712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2.0</v>
      </c>
      <c r="E7" s="60"/>
      <c r="F7" s="61"/>
      <c r="G7" s="62"/>
      <c r="H7" s="63">
        <v>0.04</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5.0</v>
      </c>
      <c r="E8" s="74">
        <v>450.0</v>
      </c>
      <c r="F8" s="75">
        <v>222.2</v>
      </c>
      <c r="G8" s="76">
        <v>2700.0</v>
      </c>
      <c r="H8" s="77">
        <v>0.12</v>
      </c>
      <c r="I8" s="78"/>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77"/>
      <c r="I9" s="78"/>
      <c r="J9" s="79"/>
      <c r="K9" s="18"/>
      <c r="L9" s="18"/>
      <c r="M9" s="85" t="s">
        <v>46</v>
      </c>
      <c r="N9" s="86" t="str">
        <f>'Calcoli componente'!$E$37</f>
        <v>#DIV/0!</v>
      </c>
      <c r="O9" s="87" t="s">
        <v>47</v>
      </c>
      <c r="P9" s="88"/>
      <c r="Q9" s="56"/>
      <c r="R9" s="18"/>
      <c r="S9" s="18"/>
      <c r="T9" s="18"/>
      <c r="U9" s="18"/>
      <c r="V9" s="18"/>
      <c r="W9" s="18"/>
      <c r="X9" s="18"/>
      <c r="Y9" s="18"/>
      <c r="Z9" s="18"/>
      <c r="AA9" s="18"/>
      <c r="AB9" s="45" t="s">
        <v>48</v>
      </c>
      <c r="AC9" s="46">
        <v>0.13</v>
      </c>
      <c r="AD9" s="46">
        <v>0.13</v>
      </c>
    </row>
    <row r="10" ht="16.5" customHeight="1">
      <c r="A10" s="18"/>
      <c r="B10" s="71" t="str">
        <f>ROMAN(4)</f>
        <v>IV</v>
      </c>
      <c r="C10" s="72"/>
      <c r="D10" s="73"/>
      <c r="E10" s="74"/>
      <c r="F10" s="75"/>
      <c r="G10" s="76"/>
      <c r="H10" s="89"/>
      <c r="I10" s="78"/>
      <c r="J10" s="79"/>
      <c r="K10" s="18"/>
      <c r="L10" s="18"/>
      <c r="M10" s="90" t="s">
        <v>49</v>
      </c>
      <c r="N10" s="91" t="str">
        <f>'Calcoli componente'!$E$44</f>
        <v>#DIV/0!</v>
      </c>
      <c r="O10" s="92" t="s">
        <v>50</v>
      </c>
      <c r="P10" s="93"/>
      <c r="Q10" s="94"/>
      <c r="R10" s="18"/>
      <c r="S10" s="18"/>
      <c r="T10" s="18"/>
      <c r="U10" s="18"/>
      <c r="V10" s="18"/>
      <c r="W10" s="18"/>
      <c r="X10" s="18"/>
      <c r="Y10" s="18"/>
      <c r="Z10" s="18"/>
      <c r="AA10" s="18"/>
      <c r="AB10" s="45" t="s">
        <v>51</v>
      </c>
      <c r="AC10" s="46">
        <v>0.13</v>
      </c>
      <c r="AD10" s="46">
        <v>0.13</v>
      </c>
    </row>
    <row r="11" ht="14.25" customHeight="1">
      <c r="A11" s="18"/>
      <c r="B11" s="71" t="str">
        <f>ROMAN(5)</f>
        <v>V</v>
      </c>
      <c r="C11" s="72"/>
      <c r="D11" s="73"/>
      <c r="E11" s="74"/>
      <c r="F11" s="75"/>
      <c r="G11" s="76"/>
      <c r="H11" s="89"/>
      <c r="I11" s="78"/>
      <c r="J11" s="79"/>
      <c r="K11" s="18"/>
      <c r="L11" s="18"/>
      <c r="M11" s="52" t="s">
        <v>52</v>
      </c>
      <c r="N11" s="95">
        <f>'Calcoli componente'!$K$26</f>
        <v>1.056666667</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89"/>
      <c r="I12" s="78"/>
      <c r="J12" s="79"/>
      <c r="K12" s="18"/>
      <c r="L12" s="18"/>
      <c r="M12" s="66" t="s">
        <v>54</v>
      </c>
      <c r="N12" s="99">
        <f>'Calcoli componente'!$L$26</f>
        <v>0.9463722397</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89"/>
      <c r="I13" s="78"/>
      <c r="J13" s="79"/>
      <c r="K13" s="18"/>
      <c r="L13" s="18"/>
      <c r="M13" s="90" t="s">
        <v>56</v>
      </c>
      <c r="N13" s="102" t="str">
        <f>'Calcoli componente'!$L$33</f>
        <v>#DIV/0!</v>
      </c>
      <c r="O13" s="103"/>
      <c r="P13" s="93"/>
      <c r="Q13" s="94"/>
      <c r="R13" s="18"/>
      <c r="S13" s="18"/>
      <c r="T13" s="18"/>
      <c r="U13" s="18"/>
      <c r="V13" s="18"/>
      <c r="W13" s="18"/>
      <c r="X13" s="18"/>
      <c r="Y13" s="18"/>
      <c r="Z13" s="18"/>
      <c r="AA13" s="18"/>
      <c r="AB13" s="104" t="str">
        <f>D2</f>
        <v>Chiusura superiore</v>
      </c>
      <c r="AC13" s="105">
        <f>DGET($AB$4:$AD$10,"Rsi",$AB$12:$AB$13)</f>
        <v>0.1</v>
      </c>
      <c r="AD13" s="105">
        <f>DGET($AB$4:$AD$10,"Rse",$AB$12:$AB$13)</f>
        <v>0.04</v>
      </c>
    </row>
    <row r="14" ht="13.5" customHeight="1">
      <c r="A14" s="18"/>
      <c r="B14" s="71" t="str">
        <f>ROMAN(8)</f>
        <v>VIII</v>
      </c>
      <c r="C14" s="72"/>
      <c r="D14" s="73"/>
      <c r="E14" s="74"/>
      <c r="F14" s="75"/>
      <c r="G14" s="76"/>
      <c r="H14" s="89"/>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89"/>
      <c r="I15" s="78"/>
      <c r="J15" s="79"/>
      <c r="K15" s="18"/>
      <c r="L15" s="18"/>
      <c r="M15" s="85" t="s">
        <v>57</v>
      </c>
      <c r="N15" s="86">
        <f>'Calcoli componente'!C17</f>
        <v>7</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89"/>
      <c r="I16" s="78"/>
      <c r="J16" s="79"/>
      <c r="K16" s="18"/>
      <c r="L16" s="18"/>
      <c r="M16" s="66" t="s">
        <v>59</v>
      </c>
      <c r="N16" s="106">
        <f>'Calcoli componente'!I17</f>
        <v>22.5</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0.04</v>
      </c>
      <c r="J17" s="111"/>
      <c r="K17" s="18"/>
      <c r="L17" s="18"/>
      <c r="M17" s="90" t="s">
        <v>62</v>
      </c>
      <c r="N17" s="112" t="str">
        <f>ABS((SIGN($P$8)*(ABS($P$8)/24-INT(ABS($P$8)/24))-IF(AND($P$8&gt;0,(ABS($P$8)/24-INT(ABS($P$8)/24))&lt;&gt;0),1,0))*24)</f>
        <v>#DIV/0!</v>
      </c>
      <c r="O17" s="103" t="s">
        <v>37</v>
      </c>
      <c r="P17" s="93"/>
      <c r="Q17" s="94"/>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isolante</v>
      </c>
      <c r="C7" s="140">
        <f>'Caratteristiche componente'!D7</f>
        <v>2</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0.04</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0.5</v>
      </c>
      <c r="L7" s="147">
        <f t="shared" ref="L7:L17" si="4">IF($C7&gt;0,1/$K7,"")</f>
        <v>2</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legno</v>
      </c>
      <c r="C8" s="156">
        <f>'Caratteristiche componente'!D8</f>
        <v>5</v>
      </c>
      <c r="D8" s="74">
        <f>IF('Caratteristiche componente'!E8&lt;&gt;"",'Caratteristiche componente'!E8,"")</f>
        <v>450</v>
      </c>
      <c r="E8" s="74">
        <f>IF('Caratteristiche componente'!F8&lt;&gt;"",'Caratteristiche componente'!F8,"")</f>
        <v>222.2</v>
      </c>
      <c r="F8" s="76">
        <f>IF('Caratteristiche componente'!G8&lt;&gt;"",'Caratteristiche componente'!G8,"")</f>
        <v>2700</v>
      </c>
      <c r="G8" s="77">
        <f>IF('Caratteristiche componente'!H8&lt;&gt;"",'Caratteristiche componente'!H8,IF('Caratteristiche componente'!I8&lt;&gt;"",C8/100/'Caratteristiche componente'!I8,""))</f>
        <v>0.12</v>
      </c>
      <c r="H8" s="157">
        <f t="shared" si="1"/>
        <v>0.0000000987654321</v>
      </c>
      <c r="I8" s="158">
        <f t="shared" si="2"/>
        <v>22.5</v>
      </c>
      <c r="J8" s="159">
        <f>IF($C8&gt;0,IF(OR('Caratteristiche componente'!$C8="intercapedine",'Caratteristiche componente'!$C8="aria",'Caratteristiche componente'!$C8="intercapedine d'aria"),0.01,$C8/100*$E8),0)</f>
        <v>11.11</v>
      </c>
      <c r="K8" s="160">
        <f t="shared" si="3"/>
        <v>0.4166666667</v>
      </c>
      <c r="L8" s="160">
        <f t="shared" si="4"/>
        <v>2.4</v>
      </c>
      <c r="M8" s="161">
        <f t="shared" si="5"/>
        <v>60750</v>
      </c>
      <c r="N8" s="18"/>
      <c r="O8" s="162">
        <f>$M8*($K$22+$K$16+$K$15+$K$14+$K$13+$K$12+$K$11+$K$10+$K$9+$K8/2)</f>
        <v>15086.25</v>
      </c>
      <c r="P8" s="161">
        <f>$M8*($K$21+$K$7+$K8/2)</f>
        <v>49106.25</v>
      </c>
      <c r="Q8" s="18"/>
      <c r="R8" s="163">
        <f t="shared" si="6"/>
        <v>0.05211760127</v>
      </c>
      <c r="S8" s="164">
        <f t="shared" si="7"/>
        <v>0.9593687887</v>
      </c>
      <c r="T8" s="164">
        <f t="shared" si="8"/>
        <v>0.8590988587</v>
      </c>
      <c r="U8" s="164">
        <f t="shared" si="9"/>
        <v>0.9117312426</v>
      </c>
      <c r="V8" s="164">
        <f t="shared" si="10"/>
        <v>0.6391654118</v>
      </c>
      <c r="W8" s="165">
        <f t="shared" si="11"/>
        <v>1.225453154</v>
      </c>
      <c r="X8" s="163">
        <f t="shared" si="12"/>
        <v>0.8590988587</v>
      </c>
      <c r="Y8" s="164">
        <f t="shared" si="13"/>
        <v>0.9117312426</v>
      </c>
      <c r="Z8" s="164">
        <f t="shared" si="14"/>
        <v>1.252718926</v>
      </c>
      <c r="AA8" s="166">
        <f t="shared" si="15"/>
        <v>46.70243658</v>
      </c>
      <c r="AB8" s="167">
        <f t="shared" si="16"/>
        <v>3.113495772</v>
      </c>
      <c r="AC8" s="163">
        <f t="shared" si="17"/>
        <v>-0.4049143623</v>
      </c>
      <c r="AD8" s="164">
        <f t="shared" si="18"/>
        <v>-0.127316295</v>
      </c>
      <c r="AE8" s="164">
        <f t="shared" si="19"/>
        <v>0.4244585725</v>
      </c>
      <c r="AF8" s="166">
        <f t="shared" si="20"/>
        <v>-162.5454076</v>
      </c>
      <c r="AG8" s="167">
        <f t="shared" si="21"/>
        <v>-10.83636051</v>
      </c>
      <c r="AH8" s="163">
        <f t="shared" si="22"/>
        <v>1.349918787</v>
      </c>
      <c r="AI8" s="164">
        <f t="shared" si="23"/>
        <v>-4.293256452</v>
      </c>
      <c r="AJ8" s="164">
        <f t="shared" si="24"/>
        <v>4.500481274</v>
      </c>
      <c r="AK8" s="166">
        <f t="shared" si="25"/>
        <v>-72.54540759</v>
      </c>
      <c r="AL8" s="167">
        <f t="shared" si="26"/>
        <v>-4.836360506</v>
      </c>
      <c r="AM8" s="168">
        <f t="shared" si="27"/>
        <v>0.8590988587</v>
      </c>
      <c r="AN8" s="164">
        <f t="shared" si="28"/>
        <v>0.9117312426</v>
      </c>
      <c r="AO8" s="164">
        <f t="shared" si="29"/>
        <v>1.252718926</v>
      </c>
      <c r="AP8" s="166">
        <f t="shared" si="30"/>
        <v>46.70243658</v>
      </c>
      <c r="AQ8" s="167">
        <f t="shared" si="31"/>
        <v>3.113495772</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7</v>
      </c>
      <c r="D17" s="188"/>
      <c r="E17" s="190"/>
      <c r="F17" s="190"/>
      <c r="G17" s="190"/>
      <c r="H17" s="191"/>
      <c r="I17" s="192">
        <f t="shared" ref="I17:K17" si="32">SUM(I$7:I$16)</f>
        <v>22.5</v>
      </c>
      <c r="J17" s="193">
        <f t="shared" si="32"/>
        <v>11.11</v>
      </c>
      <c r="K17" s="193">
        <f t="shared" si="32"/>
        <v>0.9166666667</v>
      </c>
      <c r="L17" s="194">
        <f t="shared" si="4"/>
        <v>1.090909091</v>
      </c>
      <c r="M17" s="195">
        <f>SUM(M$7:M$16)</f>
        <v>60750</v>
      </c>
      <c r="N17" s="18"/>
      <c r="O17" s="196">
        <f t="shared" ref="O17:P17" si="33">SUM(O$7:O$16)</f>
        <v>15086.25</v>
      </c>
      <c r="P17" s="197">
        <f t="shared" si="33"/>
        <v>49106.25</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v>
      </c>
      <c r="L21" s="154">
        <f t="shared" ref="L21:L22" si="34">1/K21</f>
        <v>10</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v>
      </c>
      <c r="AD21" s="151">
        <v>0.0</v>
      </c>
      <c r="AE21" s="151">
        <f t="shared" ref="AE21:AE22" si="39">SQRT(AC21^2+AD21^2)</f>
        <v>0.1</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1.056666667</v>
      </c>
      <c r="L26" s="216">
        <f>1/$K$26</f>
        <v>0.9463722397</v>
      </c>
      <c r="M26" s="18"/>
      <c r="N26" s="217">
        <f>M17*K26/3600</f>
        <v>17.83125</v>
      </c>
      <c r="O26" s="218">
        <f>$O$17/3600</f>
        <v>4.190625</v>
      </c>
      <c r="P26" s="219">
        <f>$P$17/3600</f>
        <v>13.640625</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1">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1">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60.75</v>
      </c>
      <c r="O30" s="218">
        <f t="shared" ref="O30:P30" si="75">O$17/$K$26/1000</f>
        <v>14.2772082</v>
      </c>
      <c r="P30" s="219">
        <f t="shared" si="75"/>
        <v>46.4727918</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155</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1">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1"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1">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v>
      </c>
      <c r="G3" s="250">
        <f>'Calcoli componente'!$AD$21</f>
        <v>0</v>
      </c>
      <c r="H3" s="248" t="str">
        <f>'Calcoli componente'!$X$7</f>
        <v>#DIV/0!</v>
      </c>
      <c r="I3" s="249" t="str">
        <f>'Calcoli componente'!$Y$7</f>
        <v>#DIV/0!</v>
      </c>
      <c r="J3" s="249" t="str">
        <f>'Calcoli componente'!$AC$7</f>
        <v>#DIV/0!</v>
      </c>
      <c r="K3" s="250" t="str">
        <f>'Calcoli componente'!$AD$7</f>
        <v>#DIV/0!</v>
      </c>
      <c r="L3" s="248">
        <f>'Calcoli componente'!$X$8</f>
        <v>0.8590988587</v>
      </c>
      <c r="M3" s="249">
        <f>'Calcoli componente'!$Y$8</f>
        <v>0.9117312426</v>
      </c>
      <c r="N3" s="249">
        <f>'Calcoli componente'!$AC$8</f>
        <v>-0.4049143623</v>
      </c>
      <c r="O3" s="250">
        <f>'Calcoli componente'!$AD$8</f>
        <v>-0.127316295</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v>
      </c>
      <c r="H4" s="248" t="str">
        <f>-'Calcoli componente'!$Y$7</f>
        <v>#DIV/0!</v>
      </c>
      <c r="I4" s="249" t="str">
        <f>'Calcoli componente'!$X$7</f>
        <v>#DIV/0!</v>
      </c>
      <c r="J4" s="249" t="str">
        <f>-'Calcoli componente'!$AD$7</f>
        <v>#DIV/0!</v>
      </c>
      <c r="K4" s="250" t="str">
        <f>'Calcoli componente'!$AC$7</f>
        <v>#DIV/0!</v>
      </c>
      <c r="L4" s="248">
        <f>-'Calcoli componente'!$Y$8</f>
        <v>-0.9117312426</v>
      </c>
      <c r="M4" s="249">
        <f>'Calcoli componente'!$X$8</f>
        <v>0.8590988587</v>
      </c>
      <c r="N4" s="249">
        <f>-'Calcoli componente'!$AD$8</f>
        <v>0.127316295</v>
      </c>
      <c r="O4" s="250">
        <f>'Calcoli componente'!$AC$8</f>
        <v>-0.4049143623</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f>'Calcoli componente'!$AH$8</f>
        <v>1.349918787</v>
      </c>
      <c r="M5" s="249">
        <f>'Calcoli componente'!$AI$8</f>
        <v>-4.293256452</v>
      </c>
      <c r="N5" s="249">
        <f>'Calcoli componente'!$AM$8</f>
        <v>0.8590988587</v>
      </c>
      <c r="O5" s="250">
        <f>'Calcoli componente'!$AN$8</f>
        <v>0.9117312426</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f>-'Calcoli componente'!$AI$8</f>
        <v>4.293256452</v>
      </c>
      <c r="M6" s="254">
        <f>'Calcoli componente'!$AH$8</f>
        <v>1.349918787</v>
      </c>
      <c r="N6" s="254">
        <f>-'Calcoli componente'!$AN$8</f>
        <v>-0.9117312426</v>
      </c>
      <c r="O6" s="255">
        <f>'Calcoli componente'!$AM$8</f>
        <v>0.8590988587</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f t="array" ref="N20:Q23">MMULT(L3:O6,R20:U23)</f>
        <v>0.8590988587</v>
      </c>
      <c r="O20" s="249">
        <v>0.9117312425692256</v>
      </c>
      <c r="P20" s="249">
        <v>-0.40491436226547317</v>
      </c>
      <c r="Q20" s="250">
        <v>-0.12731629496387728</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v>-0.9117312425692256</v>
      </c>
      <c r="O21" s="249">
        <v>0.8590988587109182</v>
      </c>
      <c r="P21" s="249">
        <v>0.12731629496387728</v>
      </c>
      <c r="Q21" s="250">
        <v>-0.40491436226547317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v>1.3499187871751597</v>
      </c>
      <c r="O22" s="249">
        <v>-4.293256452163447</v>
      </c>
      <c r="P22" s="249">
        <v>0.8590988587109182</v>
      </c>
      <c r="Q22" s="250">
        <v>0.9117312425692256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v>4.293256452163447</v>
      </c>
      <c r="O23" s="254">
        <v>1.3499187871751597</v>
      </c>
      <c r="P23" s="254">
        <v>-0.9117312425692256</v>
      </c>
      <c r="Q23" s="255">
        <v>0.8590988587109182</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isolante</v>
      </c>
      <c r="C7" s="346">
        <f>'Calcoli componente'!C7</f>
        <v>2</v>
      </c>
      <c r="D7" s="347" t="str">
        <f>'Calcoli componente'!E7</f>
        <v/>
      </c>
      <c r="E7" s="348">
        <f>'Calcoli componente'!G7</f>
        <v>0.04</v>
      </c>
      <c r="F7" s="349">
        <f>'Calcoli componente'!J7</f>
        <v>0</v>
      </c>
      <c r="G7" s="350">
        <f>'Calcoli componente'!K7</f>
        <v>0.5</v>
      </c>
      <c r="H7" s="282"/>
      <c r="I7" s="328" t="s">
        <v>365</v>
      </c>
      <c r="J7" s="351">
        <f>0</f>
        <v>0</v>
      </c>
      <c r="K7" s="352">
        <f>K6-(K$6-K$18)*0.25/$G$19</f>
        <v>15.93922652</v>
      </c>
      <c r="L7" s="309" t="str">
        <f t="shared" si="1"/>
        <v>#NAME?</v>
      </c>
      <c r="M7" s="309">
        <f>M6</f>
        <v>1389.18</v>
      </c>
      <c r="N7" s="309">
        <v>0.0</v>
      </c>
      <c r="O7" s="309" t="str">
        <f>IF(AND(N7&gt;0,N7=MAX(N$7:N$17)),1,0)</f>
        <v>#NAME?</v>
      </c>
      <c r="P7" s="309">
        <f>M7</f>
        <v>1389.18</v>
      </c>
      <c r="Q7" s="250" t="str">
        <f>0.0000000002*(P7-P8)/($J8-$J7)</f>
        <v>#DIV/0!</v>
      </c>
      <c r="R7" s="352">
        <f>R6-(R$6-R$18)*0.25/$G$19</f>
        <v>16.51933702</v>
      </c>
      <c r="S7" s="309" t="str">
        <f t="shared" si="2"/>
        <v>#NAME?</v>
      </c>
      <c r="T7" s="309">
        <f>T6</f>
        <v>1354.44</v>
      </c>
      <c r="U7" s="309">
        <v>0.0</v>
      </c>
      <c r="V7" s="309" t="str">
        <f>IF(AND(U7&gt;0,U7=MAX(U$7:U$17)),1,0)</f>
        <v>#NAME?</v>
      </c>
      <c r="W7" s="309">
        <f>T7</f>
        <v>1354.44</v>
      </c>
      <c r="X7" s="250" t="str">
        <f>0.0000000002*(W7-W8)/($J8-$J7)</f>
        <v>#DIV/0!</v>
      </c>
      <c r="Y7" s="352">
        <f>Y6-(Y$6-Y$18)*0.25/$G$19</f>
        <v>17.55524862</v>
      </c>
      <c r="Z7" s="309" t="str">
        <f t="shared" si="3"/>
        <v>#NAME?</v>
      </c>
      <c r="AA7" s="309">
        <f>AA6</f>
        <v>1108.69</v>
      </c>
      <c r="AB7" s="309">
        <v>0.0</v>
      </c>
      <c r="AC7" s="309" t="str">
        <f>IF(AND(AB7&gt;0,AB7=MAX(AB$7:AB$17)),1,0)</f>
        <v>#NAME?</v>
      </c>
      <c r="AD7" s="309">
        <f>AA7</f>
        <v>1108.69</v>
      </c>
      <c r="AE7" s="250" t="str">
        <f>0.0000000002*(AD7-AD8)/($J8-$J7)</f>
        <v>#DIV/0!</v>
      </c>
      <c r="AF7" s="352">
        <f>AF6-(AF$6-AF$18)*0.25/$G$19</f>
        <v>18.48756906</v>
      </c>
      <c r="AG7" s="309" t="str">
        <f t="shared" si="4"/>
        <v>#NAME?</v>
      </c>
      <c r="AH7" s="309">
        <f>AH6</f>
        <v>1129.215</v>
      </c>
      <c r="AI7" s="309">
        <v>0.0</v>
      </c>
      <c r="AJ7" s="309" t="str">
        <f>IF(AND(AI7&gt;0,AI7=MAX(AI$7:AI$17)),1,0)</f>
        <v>#NAME?</v>
      </c>
      <c r="AK7" s="309">
        <f>AH7</f>
        <v>1129.215</v>
      </c>
      <c r="AL7" s="250" t="str">
        <f>0.0000000002*(AK7-AK8)/($J8-$J7)</f>
        <v>#DIV/0!</v>
      </c>
      <c r="AM7" s="352">
        <f>AM6-(AM$6-AM$18)*0.25/$G$19</f>
        <v>19.31629834</v>
      </c>
      <c r="AN7" s="309" t="str">
        <f t="shared" si="5"/>
        <v>#NAME?</v>
      </c>
      <c r="AO7" s="309">
        <f>AO6</f>
        <v>1382.015</v>
      </c>
      <c r="AP7" s="309">
        <v>0.0</v>
      </c>
      <c r="AQ7" s="309" t="str">
        <f>IF(AND(AP7&gt;0,AP7=MAX(AP$7:AP$17)),1,0)</f>
        <v>#NAME?</v>
      </c>
      <c r="AR7" s="309">
        <f>AO7</f>
        <v>1382.015</v>
      </c>
      <c r="AS7" s="250" t="str">
        <f>0.0000000002*(AR7-AR8)/($J8-$J7)</f>
        <v>#DIV/0!</v>
      </c>
      <c r="AT7" s="352">
        <f>AT6-(AT$6-AT$18)*0.25/$G$19</f>
        <v>21.1</v>
      </c>
      <c r="AU7" s="309" t="str">
        <f t="shared" si="6"/>
        <v>#NAME?</v>
      </c>
      <c r="AV7" s="309">
        <f>AV6</f>
        <v>1702</v>
      </c>
      <c r="AW7" s="309">
        <v>0.0</v>
      </c>
      <c r="AX7" s="309" t="str">
        <f>IF(AND(AW7&gt;0,AW7=MAX(AW$7:AW$17)),1,0)</f>
        <v>#NAME?</v>
      </c>
      <c r="AY7" s="309">
        <f>AV7</f>
        <v>1702</v>
      </c>
      <c r="AZ7" s="250" t="str">
        <f>0.0000000002*(AY7-AY8)/($J8-$J7)</f>
        <v>#DIV/0!</v>
      </c>
      <c r="BA7" s="352">
        <f>BA6-(BA$6-BA$18)*0.25/$G$19</f>
        <v>23.3</v>
      </c>
      <c r="BB7" s="309" t="str">
        <f t="shared" si="7"/>
        <v>#NAME?</v>
      </c>
      <c r="BC7" s="309">
        <f>BC6</f>
        <v>1837</v>
      </c>
      <c r="BD7" s="309">
        <v>0.0</v>
      </c>
      <c r="BE7" s="309" t="str">
        <f>IF(AND(BD7&gt;0,BD7=MAX(BD$7:BD$17)),1,0)</f>
        <v>#NAME?</v>
      </c>
      <c r="BF7" s="309">
        <f>BC7</f>
        <v>1837</v>
      </c>
      <c r="BG7" s="250" t="str">
        <f>0.0000000002*(BF7-BF8)/($J8-$J7)</f>
        <v>#DIV/0!</v>
      </c>
      <c r="BH7" s="352">
        <f>BH6-(BH$6-BH$18)*0.25/$G$19</f>
        <v>22.6</v>
      </c>
      <c r="BI7" s="309" t="str">
        <f t="shared" si="8"/>
        <v>#NAME?</v>
      </c>
      <c r="BJ7" s="309">
        <f>BJ6</f>
        <v>1953</v>
      </c>
      <c r="BK7" s="309">
        <v>0.0</v>
      </c>
      <c r="BL7" s="309" t="str">
        <f>IF(AND(BK7&gt;0,BK7=MAX(BK$7:BK$17)),1,0)</f>
        <v>#NAME?</v>
      </c>
      <c r="BM7" s="309">
        <f>BJ7</f>
        <v>1953</v>
      </c>
      <c r="BN7" s="250" t="str">
        <f>0.0000000002*(BM7-BM8)/($J8-$J7)</f>
        <v>#DIV/0!</v>
      </c>
      <c r="BO7" s="352">
        <f>BO6-(BO$6-BO$18)*0.25/$G$19</f>
        <v>19.75138122</v>
      </c>
      <c r="BP7" s="309" t="str">
        <f t="shared" si="9"/>
        <v>#NAME?</v>
      </c>
      <c r="BQ7" s="309">
        <f>BQ6</f>
        <v>1557.46</v>
      </c>
      <c r="BR7" s="309">
        <v>0.0</v>
      </c>
      <c r="BS7" s="309" t="str">
        <f>IF(AND(BR7&gt;0,BR7=MAX(BR$7:BR$17)),1,0)</f>
        <v>#NAME?</v>
      </c>
      <c r="BT7" s="309">
        <f>BQ7</f>
        <v>1557.46</v>
      </c>
      <c r="BU7" s="250" t="str">
        <f>0.0000000002*(BT7-BT8)/($J8-$J7)</f>
        <v>#DIV/0!</v>
      </c>
      <c r="BV7" s="352">
        <f>BV6-(BV$6-BV$18)*0.25/$G$19</f>
        <v>18.46685083</v>
      </c>
      <c r="BW7" s="309" t="str">
        <f t="shared" si="10"/>
        <v>#NAME?</v>
      </c>
      <c r="BX7" s="309">
        <f>BX6</f>
        <v>1509.67</v>
      </c>
      <c r="BY7" s="309">
        <v>0.0</v>
      </c>
      <c r="BZ7" s="309" t="str">
        <f>IF(AND(BY7&gt;0,BY7=MAX(BY$7:BY$17)),1,0)</f>
        <v>#NAME?</v>
      </c>
      <c r="CA7" s="309">
        <f>BX7</f>
        <v>1509.67</v>
      </c>
      <c r="CB7" s="250" t="str">
        <f>0.0000000002*(CA7-CA8)/($J8-$J7)</f>
        <v>#DIV/0!</v>
      </c>
      <c r="CC7" s="352">
        <f>CC6-(CC$6-CC$18)*0.25/$G$19</f>
        <v>17.26519337</v>
      </c>
      <c r="CD7" s="309" t="str">
        <f t="shared" si="11"/>
        <v>#NAME?</v>
      </c>
      <c r="CE7" s="309">
        <f>CE6</f>
        <v>1429.06</v>
      </c>
      <c r="CF7" s="309">
        <v>0.0</v>
      </c>
      <c r="CG7" s="309" t="str">
        <f>IF(AND(CF7&gt;0,CF7=MAX(CF$7:CF$17)),1,0)</f>
        <v>#NAME?</v>
      </c>
      <c r="CH7" s="309">
        <f>CE7</f>
        <v>1429.06</v>
      </c>
      <c r="CI7" s="250" t="str">
        <f>0.0000000002*(CH7-CH8)/($J8-$J7)</f>
        <v>#DIV/0!</v>
      </c>
      <c r="CJ7" s="352">
        <f>CJ6-(CJ$6-CJ$18)*0.25/$G$19</f>
        <v>16.27071823</v>
      </c>
      <c r="CK7" s="309" t="str">
        <f t="shared" si="12"/>
        <v>#NAME?</v>
      </c>
      <c r="CL7" s="309">
        <f>CL6</f>
        <v>1407.9</v>
      </c>
      <c r="CM7" s="309">
        <v>0.0</v>
      </c>
      <c r="CN7" s="309" t="str">
        <f>IF(AND(CM7&gt;0,CM7=MAX(CM$7:CM$17)),1,0)</f>
        <v>#NAME?</v>
      </c>
      <c r="CO7" s="309">
        <f>CL7</f>
        <v>1407.9</v>
      </c>
      <c r="CP7" s="250" t="str">
        <f>0.0000000002*(CO7-CO8)/($J8-$J7)</f>
        <v>#DIV/0!</v>
      </c>
    </row>
    <row r="8" ht="12.75" customHeight="1">
      <c r="A8" s="331" t="str">
        <f>ROMAN(2)</f>
        <v>II</v>
      </c>
      <c r="B8" s="353" t="str">
        <f>IF('Caratteristiche componente'!C8&lt;&gt;"",'Caratteristiche componente'!C8,"")</f>
        <v>legno</v>
      </c>
      <c r="C8" s="354">
        <f>'Calcoli componente'!C8</f>
        <v>5</v>
      </c>
      <c r="D8" s="308">
        <f>'Calcoli componente'!E8</f>
        <v>222.2</v>
      </c>
      <c r="E8" s="355">
        <f>'Calcoli componente'!G8</f>
        <v>0.12</v>
      </c>
      <c r="F8" s="356">
        <f>'Calcoli componente'!J8</f>
        <v>11.11</v>
      </c>
      <c r="G8" s="357">
        <f>'Calcoli componente'!K8</f>
        <v>0.4166666667</v>
      </c>
      <c r="H8" s="282"/>
      <c r="I8" s="328" t="s">
        <v>366</v>
      </c>
      <c r="J8" s="351">
        <f t="shared" ref="J8:J17" si="13">J7+F7</f>
        <v>0</v>
      </c>
      <c r="K8" s="352">
        <f t="shared" ref="K8:K17" si="14">K7-(K$6-K$18)*$G7/$G$19</f>
        <v>7.817679558</v>
      </c>
      <c r="L8" s="309" t="str">
        <f t="shared" si="1"/>
        <v>#NAME?</v>
      </c>
      <c r="M8" s="309">
        <f t="shared" ref="M8:M16" si="15">M$7-(M$7-M$17)*$J8/$F$17</f>
        <v>1389.18</v>
      </c>
      <c r="N8" s="309" t="str">
        <f t="shared" ref="N8:N17" si="16">IF(M8&gt;L8,(M$7-L8)/$J8,0)</f>
        <v>#NAME?</v>
      </c>
      <c r="O8" s="309" t="str">
        <f>IF(AND(N8&gt;0,N8=MAX(N$7:N$17)),2,0)</f>
        <v>#NAME?</v>
      </c>
      <c r="P8" s="309">
        <f t="shared" ref="P8:P16" si="17">IF($F7=0,P7,IF($J8&lt;=N$20,P$7-(P$7-P$20)*$J8/N$20,IF(M8&gt;L8,L8,P7-(P7-P$17)*($J8-$J7)/($J$17-$J7))))</f>
        <v>1389.18</v>
      </c>
      <c r="Q8" s="250" t="str">
        <f t="shared" ref="Q8:Q16" si="18">IF($F8=0,Q7,0.0000000002*(P8-P9)/($J9-$J8))</f>
        <v>#NAME?</v>
      </c>
      <c r="R8" s="352">
        <f t="shared" ref="R8:R17" si="19">R7-(R$6-R$18)*$G7/$G$19</f>
        <v>9.55801105</v>
      </c>
      <c r="S8" s="309" t="str">
        <f t="shared" si="2"/>
        <v>#NAME?</v>
      </c>
      <c r="T8" s="309">
        <f t="shared" ref="T8:T16" si="20">T$7-(T$7-T$17)*$J8/$F$17</f>
        <v>1354.44</v>
      </c>
      <c r="U8" s="309" t="str">
        <f t="shared" ref="U8:U17" si="21">IF(T8&gt;S8,(T$7-S8)/$J8,0)</f>
        <v>#NAME?</v>
      </c>
      <c r="V8" s="309" t="str">
        <f>IF(AND(U8&gt;0,U8=MAX(U$7:U$17)),2,0)</f>
        <v>#NAME?</v>
      </c>
      <c r="W8" s="309">
        <f t="shared" ref="W8:W16" si="22">IF($F7=0,W7,IF($J8&lt;=U$20,W$7-(W$7-W$20)*$J8/U$20,IF(T8&gt;S8,S8,W7-(W7-W$17)*($J8-$J7)/($J$17-$J7))))</f>
        <v>1354.44</v>
      </c>
      <c r="X8" s="250" t="str">
        <f t="shared" ref="X8:X16" si="23">IF($F8=0,X7,0.0000000002*(W8-W9)/($J9-$J8))</f>
        <v>#NAME?</v>
      </c>
      <c r="Y8" s="352">
        <f t="shared" ref="Y8:Y17" si="24">Y7-(Y$6-Y$18)*$G7/$G$19</f>
        <v>12.66574586</v>
      </c>
      <c r="Z8" s="309" t="str">
        <f t="shared" si="3"/>
        <v>#NAME?</v>
      </c>
      <c r="AA8" s="309">
        <f t="shared" ref="AA8:AA16" si="25">AA$7-(AA$7-AA$17)*$J8/$F$17</f>
        <v>1108.69</v>
      </c>
      <c r="AB8" s="309" t="str">
        <f t="shared" ref="AB8:AB17" si="26">IF(AA8&gt;Z8,(AA$7-Z8)/$J8,0)</f>
        <v>#NAME?</v>
      </c>
      <c r="AC8" s="309" t="str">
        <f>IF(AND(AB8&gt;0,AB8=MAX(AB$7:AB$17)),2,0)</f>
        <v>#NAME?</v>
      </c>
      <c r="AD8" s="309">
        <f t="shared" ref="AD8:AD16" si="27">IF($F7=0,AD7,IF($J8&lt;=AB$20,AD$7-(AD$7-AD$20)*$J8/AB$20,IF(AA8&gt;Z8,Z8,AD7-(AD7-AD$17)*($J8-$J7)/($J$17-$J7))))</f>
        <v>1108.69</v>
      </c>
      <c r="AE8" s="250" t="str">
        <f t="shared" ref="AE8:AE16" si="28">IF($F8=0,AE7,0.0000000002*(AD8-AD9)/($J9-$J8))</f>
        <v>#NAME?</v>
      </c>
      <c r="AF8" s="352">
        <f t="shared" ref="AF8:AF17" si="29">AF7-(AF$6-AF$18)*$G7/$G$19</f>
        <v>15.46270718</v>
      </c>
      <c r="AG8" s="309" t="str">
        <f t="shared" si="4"/>
        <v>#NAME?</v>
      </c>
      <c r="AH8" s="309">
        <f t="shared" ref="AH8:AH16" si="30">AH$7-(AH$7-AH$17)*$J8/$F$17</f>
        <v>1129.215</v>
      </c>
      <c r="AI8" s="309" t="str">
        <f t="shared" ref="AI8:AI17" si="31">IF(AH8&gt;AG8,(AH$7-AG8)/$J8,0)</f>
        <v>#NAME?</v>
      </c>
      <c r="AJ8" s="309" t="str">
        <f>IF(AND(AI8&gt;0,AI8=MAX(AI$7:AI$17)),2,0)</f>
        <v>#NAME?</v>
      </c>
      <c r="AK8" s="309">
        <f t="shared" ref="AK8:AK16" si="32">IF($F7=0,AK7,IF($J8&lt;=AI$20,AK$7-(AK$7-AK$20)*$J8/AI$20,IF(AH8&gt;AG8,AG8,AK7-(AK7-AK$17)*($J8-$J7)/($J$17-$J7))))</f>
        <v>1129.215</v>
      </c>
      <c r="AL8" s="250" t="str">
        <f t="shared" ref="AL8:AL16" si="33">IF($F8=0,AL7,0.0000000002*(AK8-AK9)/($J9-$J8))</f>
        <v>#NAME?</v>
      </c>
      <c r="AM8" s="352">
        <f t="shared" ref="AM8:AM17" si="34">AM7-(AM$6-AM$18)*$G7/$G$19</f>
        <v>17.94889503</v>
      </c>
      <c r="AN8" s="309" t="str">
        <f t="shared" si="5"/>
        <v>#NAME?</v>
      </c>
      <c r="AO8" s="309">
        <f t="shared" ref="AO8:AO16" si="35">AO$7-(AO$7-AO$17)*$J8/$F$17</f>
        <v>1382.015</v>
      </c>
      <c r="AP8" s="309" t="str">
        <f t="shared" ref="AP8:AP17" si="36">IF(AO8&gt;AN8,(AO$7-AN8)/$J8,0)</f>
        <v>#NAME?</v>
      </c>
      <c r="AQ8" s="309" t="str">
        <f>IF(AND(AP8&gt;0,AP8=MAX(AP$7:AP$17)),2,0)</f>
        <v>#NAME?</v>
      </c>
      <c r="AR8" s="309">
        <f t="shared" ref="AR8:AR16" si="37">IF($F7=0,AR7,IF($J8&lt;=AP$20,AR$7-(AR$7-AR$20)*$J8/AP$20,IF(AO8&gt;AN8,AN8,AR7-(AR7-AR$17)*($J8-$J7)/($J$17-$J7))))</f>
        <v>1382.015</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f t="shared" ref="AY8:AY16" si="42">IF($F7=0,AY7,IF($J8&lt;=AW$20,AY$7-(AY$7-AY$20)*$J8/AW$20,IF(AV8&gt;AU8,AU8,AY7-(AY7-AY$17)*($J8-$J7)/($J$17-$J7))))</f>
        <v>1702</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f t="shared" ref="BF8:BF16" si="47">IF($F7=0,BF7,IF($J8&lt;=BD$20,BF$7-(BF$7-BF$20)*$J8/BD$20,IF(BC8&gt;BB8,BB8,BF7-(BF7-BF$17)*($J8-$J7)/($J$17-$J7))))</f>
        <v>1837</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f t="shared" ref="BM8:BM16" si="52">IF($F7=0,BM7,IF($J8&lt;=BK$20,BM$7-(BM$7-BM$20)*$J8/BK$20,IF(BJ8&gt;BI8,BI8,BM7-(BM7-BM$17)*($J8-$J7)/($J$17-$J7))))</f>
        <v>1953</v>
      </c>
      <c r="BN8" s="250" t="str">
        <f t="shared" ref="BN8:BN16" si="53">IF($F8=0,BN7,0.0000000002*(BM8-BM9)/($J9-$J8))</f>
        <v>#NAME?</v>
      </c>
      <c r="BO8" s="352">
        <f t="shared" ref="BO8:BO17" si="54">BO7-(BO$6-BO$18)*$G7/$G$19</f>
        <v>19.25414365</v>
      </c>
      <c r="BP8" s="309" t="str">
        <f t="shared" si="9"/>
        <v>#NAME?</v>
      </c>
      <c r="BQ8" s="309">
        <f t="shared" ref="BQ8:BQ16" si="55">BQ$7-(BQ$7-BQ$17)*$J8/$F$17</f>
        <v>1557.46</v>
      </c>
      <c r="BR8" s="309" t="str">
        <f t="shared" ref="BR8:BR17" si="56">IF(BQ8&gt;BP8,(BQ$7-BP8)/$J8,0)</f>
        <v>#NAME?</v>
      </c>
      <c r="BS8" s="309" t="str">
        <f>IF(AND(BR8&gt;0,BR8=MAX(BR$7:BR$17)),2,0)</f>
        <v>#NAME?</v>
      </c>
      <c r="BT8" s="309">
        <f t="shared" ref="BT8:BT16" si="57">IF($F7=0,BT7,IF($J8&lt;=BR$20,BT$7-(BT$7-BT$20)*$J8/BR$20,IF(BQ8&gt;BP8,BP8,BT7-(BT7-BT$17)*($J8-$J7)/($J$17-$J7))))</f>
        <v>1557.46</v>
      </c>
      <c r="BU8" s="250" t="str">
        <f t="shared" ref="BU8:BU16" si="58">IF($F8=0,BU7,0.0000000002*(BT8-BT9)/($J9-$J8))</f>
        <v>#NAME?</v>
      </c>
      <c r="BV8" s="352">
        <f t="shared" ref="BV8:BV17" si="59">BV7-(BV$6-BV$18)*$G7/$G$19</f>
        <v>15.40055249</v>
      </c>
      <c r="BW8" s="309" t="str">
        <f t="shared" si="10"/>
        <v>#NAME?</v>
      </c>
      <c r="BX8" s="309">
        <f t="shared" ref="BX8:BX16" si="60">BX$7-(BX$7-BX$17)*$J8/$F$17</f>
        <v>1509.67</v>
      </c>
      <c r="BY8" s="309" t="str">
        <f t="shared" ref="BY8:BY17" si="61">IF(BX8&gt;BW8,(BX$7-BW8)/$J8,0)</f>
        <v>#NAME?</v>
      </c>
      <c r="BZ8" s="309" t="str">
        <f>IF(AND(BY8&gt;0,BY8=MAX(BY$7:BY$17)),2,0)</f>
        <v>#NAME?</v>
      </c>
      <c r="CA8" s="309">
        <f t="shared" ref="CA8:CA16" si="62">IF($F7=0,CA7,IF($J8&lt;=BY$20,CA$7-(CA$7-CA$20)*$J8/BY$20,IF(BX8&gt;BW8,BW8,CA7-(CA7-CA$17)*($J8-$J7)/($J$17-$J7))))</f>
        <v>1509.67</v>
      </c>
      <c r="CB8" s="250" t="str">
        <f t="shared" ref="CB8:CB16" si="63">IF($F8=0,CB7,0.0000000002*(CA8-CA9)/($J9-$J8))</f>
        <v>#NAME?</v>
      </c>
      <c r="CC8" s="352">
        <f t="shared" ref="CC8:CC17" si="64">CC7-(CC$6-CC$18)*$G7/$G$19</f>
        <v>11.79558011</v>
      </c>
      <c r="CD8" s="309" t="str">
        <f t="shared" si="11"/>
        <v>#NAME?</v>
      </c>
      <c r="CE8" s="309">
        <f t="shared" ref="CE8:CE16" si="65">CE$7-(CE$7-CE$17)*$J8/$F$17</f>
        <v>1429.06</v>
      </c>
      <c r="CF8" s="309" t="str">
        <f t="shared" ref="CF8:CF17" si="66">IF(CE8&gt;CD8,(CE$7-CD8)/$J8,0)</f>
        <v>#NAME?</v>
      </c>
      <c r="CG8" s="309" t="str">
        <f>IF(AND(CF8&gt;0,CF8=MAX(CF$7:CF$17)),2,0)</f>
        <v>#NAME?</v>
      </c>
      <c r="CH8" s="309">
        <f t="shared" ref="CH8:CH16" si="67">IF($F7=0,CH7,IF($J8&lt;=CF$20,CH$7-(CH$7-CH$20)*$J8/CF$20,IF(CE8&gt;CD8,CD8,CH7-(CH7-CH$17)*($J8-$J7)/($J$17-$J7))))</f>
        <v>1429.06</v>
      </c>
      <c r="CI8" s="250" t="str">
        <f t="shared" ref="CI8:CI16" si="68">IF($F8=0,CI7,0.0000000002*(CH8-CH9)/($J9-$J8))</f>
        <v>#NAME?</v>
      </c>
      <c r="CJ8" s="352">
        <f t="shared" ref="CJ8:CJ17" si="69">CJ7-(CJ$6-CJ$18)*$G7/$G$19</f>
        <v>8.812154696</v>
      </c>
      <c r="CK8" s="309" t="str">
        <f t="shared" si="12"/>
        <v>#NAME?</v>
      </c>
      <c r="CL8" s="309">
        <f t="shared" ref="CL8:CL16" si="70">CL$7-(CL$7-CL$17)*$J8/$F$17</f>
        <v>1407.9</v>
      </c>
      <c r="CM8" s="309" t="str">
        <f t="shared" ref="CM8:CM17" si="71">IF(CL8&gt;CK8,(CL$7-CK8)/$J8,0)</f>
        <v>#NAME?</v>
      </c>
      <c r="CN8" s="309" t="str">
        <f>IF(AND(CM8&gt;0,CM8=MAX(CM$7:CM$17)),2,0)</f>
        <v>#NAME?</v>
      </c>
      <c r="CO8" s="309">
        <f t="shared" ref="CO8:CO16" si="72">IF($F7=0,CO7,IF($J8&lt;=CM$20,CO$7-(CO$7-CO$20)*$J8/CM$20,IF(CL8&gt;CK8,CK8,CO7-(CO7-CO$17)*($J8-$J7)/($J$17-$J7))))</f>
        <v>1407.9</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11.11</v>
      </c>
      <c r="K9" s="352">
        <f t="shared" si="14"/>
        <v>1.049723757</v>
      </c>
      <c r="L9" s="309" t="str">
        <f t="shared" si="1"/>
        <v>#NAME?</v>
      </c>
      <c r="M9" s="309">
        <f t="shared" si="15"/>
        <v>516</v>
      </c>
      <c r="N9" s="309" t="str">
        <f t="shared" si="16"/>
        <v>#NAME?</v>
      </c>
      <c r="O9" s="309" t="str">
        <f>IF(AND(N9&gt;0,N9=MAX(N$7:N$17)),3,0)</f>
        <v>#NAME?</v>
      </c>
      <c r="P9" s="309" t="str">
        <f t="shared" si="17"/>
        <v>#NAME?</v>
      </c>
      <c r="Q9" s="250" t="str">
        <f t="shared" si="18"/>
        <v>#NAME?</v>
      </c>
      <c r="R9" s="352">
        <f t="shared" si="19"/>
        <v>3.756906077</v>
      </c>
      <c r="S9" s="309" t="str">
        <f t="shared" si="2"/>
        <v>#NAME?</v>
      </c>
      <c r="T9" s="309">
        <f t="shared" si="20"/>
        <v>606</v>
      </c>
      <c r="U9" s="309" t="str">
        <f t="shared" si="21"/>
        <v>#NAME?</v>
      </c>
      <c r="V9" s="309" t="str">
        <f>IF(AND(U9&gt;0,U9=MAX(U$7:U$17)),3,0)</f>
        <v>#NAME?</v>
      </c>
      <c r="W9" s="309" t="str">
        <f t="shared" si="22"/>
        <v>#NAME?</v>
      </c>
      <c r="X9" s="250" t="str">
        <f t="shared" si="23"/>
        <v>#NAME?</v>
      </c>
      <c r="Y9" s="352">
        <f t="shared" si="24"/>
        <v>8.591160221</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12.94198895</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16.80939227</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18.83977901</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12.84530387</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7.237569061</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2.596685083</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11.11</v>
      </c>
      <c r="K10" s="352">
        <f t="shared" si="14"/>
        <v>1.049723757</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3.756906077</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8.591160221</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12.94198895</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16.80939227</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18.83977901</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12.84530387</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7.237569061</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2.596685083</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11.11</v>
      </c>
      <c r="K11" s="352">
        <f t="shared" si="14"/>
        <v>1.049723757</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3.756906077</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8.591160221</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12.94198895</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16.80939227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18.83977901</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12.84530387</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7.237569061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2.596685083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11.11</v>
      </c>
      <c r="K12" s="352">
        <f t="shared" si="14"/>
        <v>1.049723757</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3.756906077</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8.591160221</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12.94198895</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16.80939227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18.83977901</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12.84530387</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7.237569061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2.596685083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11.11</v>
      </c>
      <c r="K13" s="352">
        <f t="shared" si="14"/>
        <v>1.049723757</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3.756906077</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8.591160221</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12.94198895</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16.80939227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18.83977901</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12.84530387</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7.237569061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2.596685083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11.11</v>
      </c>
      <c r="K14" s="352">
        <f t="shared" si="14"/>
        <v>1.049723757</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3.756906077</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8.591160221</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12.94198895</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16.80939227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18.83977901</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12.84530387</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7.237569061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2.596685083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11.11</v>
      </c>
      <c r="K15" s="352">
        <f t="shared" si="14"/>
        <v>1.049723757</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3.756906077</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8.591160221</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12.94198895</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16.80939227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18.83977901</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12.84530387</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7.237569061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2.596685083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11.11</v>
      </c>
      <c r="K16" s="352">
        <f t="shared" si="14"/>
        <v>1.049723757</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3.756906077</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8.591160221</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12.94198895</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16.80939227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18.83977901</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12.84530387</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7.237569061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2.596685083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7</v>
      </c>
      <c r="D17" s="363"/>
      <c r="E17" s="365"/>
      <c r="F17" s="366">
        <f t="shared" ref="F17:G17" si="74">SUM(F$7:F$16)</f>
        <v>11.11</v>
      </c>
      <c r="G17" s="367">
        <f t="shared" si="74"/>
        <v>0.9166666667</v>
      </c>
      <c r="H17" s="282"/>
      <c r="I17" s="328" t="s">
        <v>375</v>
      </c>
      <c r="J17" s="351">
        <f t="shared" si="13"/>
        <v>11.11</v>
      </c>
      <c r="K17" s="352">
        <f t="shared" si="14"/>
        <v>1.049723757</v>
      </c>
      <c r="L17" s="309" t="str">
        <f t="shared" si="1"/>
        <v>#NAME?</v>
      </c>
      <c r="M17" s="309">
        <f>M18</f>
        <v>516</v>
      </c>
      <c r="N17" s="309" t="str">
        <f t="shared" si="16"/>
        <v>#NAME?</v>
      </c>
      <c r="O17" s="309" t="str">
        <f>IF(AND(N17&gt;0,N17=MAX(N$7:N$17)),11,0)</f>
        <v>#NAME?</v>
      </c>
      <c r="P17" s="309">
        <f>M17</f>
        <v>516</v>
      </c>
      <c r="Q17" s="368"/>
      <c r="R17" s="352">
        <f t="shared" si="19"/>
        <v>3.756906077</v>
      </c>
      <c r="S17" s="309" t="str">
        <f t="shared" si="2"/>
        <v>#NAME?</v>
      </c>
      <c r="T17" s="309">
        <f>T18</f>
        <v>606</v>
      </c>
      <c r="U17" s="309" t="str">
        <f t="shared" si="21"/>
        <v>#NAME?</v>
      </c>
      <c r="V17" s="309" t="str">
        <f>IF(AND(U17&gt;0,U17=MAX(U$7:U$17)),11,0)</f>
        <v>#NAME?</v>
      </c>
      <c r="W17" s="309">
        <f>T17</f>
        <v>606</v>
      </c>
      <c r="X17" s="368"/>
      <c r="Y17" s="352">
        <f t="shared" si="24"/>
        <v>8.591160221</v>
      </c>
      <c r="Z17" s="309" t="str">
        <f t="shared" si="3"/>
        <v>#NAME?</v>
      </c>
      <c r="AA17" s="309">
        <f>AA18</f>
        <v>583</v>
      </c>
      <c r="AB17" s="309" t="str">
        <f t="shared" si="26"/>
        <v>#NAME?</v>
      </c>
      <c r="AC17" s="309" t="str">
        <f>IF(AND(AB17&gt;0,AB17=MAX(AB$7:AB$17)),11,0)</f>
        <v>#NAME?</v>
      </c>
      <c r="AD17" s="309">
        <f>AA17</f>
        <v>583</v>
      </c>
      <c r="AE17" s="368"/>
      <c r="AF17" s="352">
        <f t="shared" si="29"/>
        <v>12.94198895</v>
      </c>
      <c r="AG17" s="309" t="str">
        <f t="shared" si="4"/>
        <v>#NAME?</v>
      </c>
      <c r="AH17" s="309">
        <f>AH18</f>
        <v>804</v>
      </c>
      <c r="AI17" s="309" t="str">
        <f t="shared" si="31"/>
        <v>#NAME?</v>
      </c>
      <c r="AJ17" s="309" t="str">
        <f>IF(AND(AI17&gt;0,AI17=MAX(AI$7:AI$17)),11,0)</f>
        <v>#NAME?</v>
      </c>
      <c r="AK17" s="309">
        <f>AH17</f>
        <v>804</v>
      </c>
      <c r="AL17" s="368"/>
      <c r="AM17" s="352">
        <f t="shared" si="34"/>
        <v>16.80939227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18.83977901</v>
      </c>
      <c r="BP17" s="309" t="str">
        <f t="shared" si="9"/>
        <v>#NAME?</v>
      </c>
      <c r="BQ17" s="309">
        <f>BQ18</f>
        <v>1504</v>
      </c>
      <c r="BR17" s="309" t="str">
        <f t="shared" si="56"/>
        <v>#NAME?</v>
      </c>
      <c r="BS17" s="309" t="str">
        <f>IF(AND(BR17&gt;0,BR17=MAX(BR$7:BR$17)),11,0)</f>
        <v>#NAME?</v>
      </c>
      <c r="BT17" s="309">
        <f>BQ17</f>
        <v>1504</v>
      </c>
      <c r="BU17" s="368"/>
      <c r="BV17" s="352">
        <f t="shared" si="59"/>
        <v>12.84530387</v>
      </c>
      <c r="BW17" s="309" t="str">
        <f t="shared" si="10"/>
        <v>#NAME?</v>
      </c>
      <c r="BX17" s="309">
        <f>BX18</f>
        <v>1180</v>
      </c>
      <c r="BY17" s="309" t="str">
        <f t="shared" si="61"/>
        <v>#NAME?</v>
      </c>
      <c r="BZ17" s="309" t="str">
        <f>IF(AND(BY17&gt;0,BY17=MAX(BY$7:BY$17)),11,0)</f>
        <v>#NAME?</v>
      </c>
      <c r="CA17" s="309">
        <f>BX17</f>
        <v>1180</v>
      </c>
      <c r="CB17" s="368"/>
      <c r="CC17" s="352">
        <f t="shared" si="64"/>
        <v>7.237569061</v>
      </c>
      <c r="CD17" s="309" t="str">
        <f t="shared" si="11"/>
        <v>#NAME?</v>
      </c>
      <c r="CE17" s="309">
        <f>CE18</f>
        <v>841</v>
      </c>
      <c r="CF17" s="309" t="str">
        <f t="shared" si="66"/>
        <v>#NAME?</v>
      </c>
      <c r="CG17" s="309" t="str">
        <f>IF(AND(CF17&gt;0,CF17=MAX(CF$7:CF$17)),11,0)</f>
        <v>#NAME?</v>
      </c>
      <c r="CH17" s="309">
        <f>CE17</f>
        <v>841</v>
      </c>
      <c r="CI17" s="368"/>
      <c r="CJ17" s="352">
        <f t="shared" si="69"/>
        <v>2.596685083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1.206666667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0.7928176796</v>
      </c>
      <c r="L20" s="282"/>
      <c r="M20" s="282"/>
      <c r="N20" s="376" t="str">
        <f t="array" ref="N20">IF(O$20&gt;0,INDEX($J$7:$J$17,O$20,1),$J$17)</f>
        <v>#NAME?</v>
      </c>
      <c r="O20" s="377" t="str">
        <f>MAX(O$7:O$17)</f>
        <v>#NAME?</v>
      </c>
      <c r="P20" s="378" t="str">
        <f t="array" ref="P20">IF(O$20&gt;0,INDEX(L$7:L$17,O$20,1),M$17)</f>
        <v>#NAME?</v>
      </c>
      <c r="Q20" s="379" t="str">
        <f>Q7-Q16</f>
        <v>#DIV/0!</v>
      </c>
      <c r="R20" s="282"/>
      <c r="S20" s="282"/>
      <c r="T20" s="282"/>
      <c r="U20" s="376" t="str">
        <f t="array" ref="U20">IF(V$20&gt;0,INDEX($J$7:$J$17,V$20,1),$J$17)</f>
        <v>#NAME?</v>
      </c>
      <c r="V20" s="377" t="str">
        <f>MAX(V$7:V$17)</f>
        <v>#NAME?</v>
      </c>
      <c r="W20" s="378" t="str">
        <f t="array" ref="W20">IF(V$20&gt;0,INDEX(S$7:S$17,V$20,1),T$17)</f>
        <v>#NAME?</v>
      </c>
      <c r="X20" s="379" t="str">
        <f>X7-X16</f>
        <v>#DIV/0!</v>
      </c>
      <c r="Y20" s="282"/>
      <c r="Z20" s="282"/>
      <c r="AA20" s="282"/>
      <c r="AB20" s="376" t="str">
        <f t="array" ref="AB20">IF(AC$20&gt;0,INDEX($J$7:$J$17,AC$20,1),$J$17)</f>
        <v>#NAME?</v>
      </c>
      <c r="AC20" s="377" t="str">
        <f>MAX(AC$7:AC$17)</f>
        <v>#NAME?</v>
      </c>
      <c r="AD20" s="378" t="str">
        <f t="array" ref="AD20">IF(AC$20&gt;0,INDEX(Z$7:Z$17,AC$20,1),AA$17)</f>
        <v>#NAME?</v>
      </c>
      <c r="AE20" s="379" t="str">
        <f>AE7-AE16</f>
        <v>#DIV/0!</v>
      </c>
      <c r="AF20" s="282"/>
      <c r="AG20" s="282"/>
      <c r="AH20" s="282"/>
      <c r="AI20" s="376" t="str">
        <f t="array" ref="AI20">IF(AJ$20&gt;0,INDEX($J$7:$J$17,AJ$20,1),$J$17)</f>
        <v>#NAME?</v>
      </c>
      <c r="AJ20" s="377" t="str">
        <f>MAX(AJ$7:AJ$17)</f>
        <v>#NAME?</v>
      </c>
      <c r="AK20" s="378" t="str">
        <f t="array" ref="AK20">IF(AJ$20&gt;0,INDEX(AG$7:AG$17,AJ$20,1),AH$17)</f>
        <v>#NAME?</v>
      </c>
      <c r="AL20" s="379" t="str">
        <f>AL7-AL16</f>
        <v>#DIV/0!</v>
      </c>
      <c r="AM20" s="282"/>
      <c r="AN20" s="282"/>
      <c r="AO20" s="282"/>
      <c r="AP20" s="376" t="str">
        <f t="array" ref="AP20">IF(AQ$20&gt;0,INDEX($J$7:$J$17,AQ$20,1),$J$17)</f>
        <v>#NAME?</v>
      </c>
      <c r="AQ20" s="377" t="str">
        <f>MAX(AQ$7:AQ$17)</f>
        <v>#NAME?</v>
      </c>
      <c r="AR20" s="378" t="str">
        <f t="array" ref="AR20">IF(AQ$20&gt;0,INDEX(AN$7:AN$17,AQ$20,1),AO$17)</f>
        <v>#NAME?</v>
      </c>
      <c r="AS20" s="379" t="str">
        <f>AS7-AS16</f>
        <v>#DIV/0!</v>
      </c>
      <c r="AT20" s="282"/>
      <c r="AU20" s="282"/>
      <c r="AV20" s="282"/>
      <c r="AW20" s="376" t="str">
        <f t="array" ref="AW20">IF(AX$20&gt;0,INDEX($J$7:$J$17,AX$20,1),$J$17)</f>
        <v>#NAME?</v>
      </c>
      <c r="AX20" s="377" t="str">
        <f>MAX(AX$7:AX$17)</f>
        <v>#NAME?</v>
      </c>
      <c r="AY20" s="378" t="str">
        <f t="array" ref="AY20">IF(AX$20&gt;0,INDEX(AU$7:AU$17,AX$20,1),AV$17)</f>
        <v>#NAME?</v>
      </c>
      <c r="AZ20" s="379" t="str">
        <f>AZ7-AZ16</f>
        <v>#DIV/0!</v>
      </c>
      <c r="BA20" s="282"/>
      <c r="BB20" s="282"/>
      <c r="BC20" s="282"/>
      <c r="BD20" s="376" t="str">
        <f t="array" ref="BD20">IF(BE$20&gt;0,INDEX($J$7:$J$17,BE$20,1),$J$17)</f>
        <v>#NAME?</v>
      </c>
      <c r="BE20" s="377" t="str">
        <f>MAX(BE$7:BE$17)</f>
        <v>#NAME?</v>
      </c>
      <c r="BF20" s="378" t="str">
        <f t="array" ref="BF20">IF(BE$20&gt;0,INDEX(BB$7:BB$17,BE$20,1),BC$17)</f>
        <v>#NAME?</v>
      </c>
      <c r="BG20" s="379" t="str">
        <f>BG7-BG16</f>
        <v>#DIV/0!</v>
      </c>
      <c r="BH20" s="282"/>
      <c r="BI20" s="282"/>
      <c r="BJ20" s="282"/>
      <c r="BK20" s="376" t="str">
        <f t="array" ref="BK20">IF(BL$20&gt;0,INDEX($J$7:$J$17,BL$20,1),$J$17)</f>
        <v>#NAME?</v>
      </c>
      <c r="BL20" s="377" t="str">
        <f>MAX(BL$7:BL$17)</f>
        <v>#NAME?</v>
      </c>
      <c r="BM20" s="378" t="str">
        <f t="array" ref="BM20">IF(BL$20&gt;0,INDEX(BI$7:BI$17,BL$20,1),BJ$17)</f>
        <v>#NAME?</v>
      </c>
      <c r="BN20" s="379" t="str">
        <f>BN7-BN16</f>
        <v>#DIV/0!</v>
      </c>
      <c r="BO20" s="282"/>
      <c r="BP20" s="282"/>
      <c r="BQ20" s="282"/>
      <c r="BR20" s="376" t="str">
        <f t="array" ref="BR20">IF(BS$20&gt;0,INDEX($J$7:$J$17,BS$20,1),$J$17)</f>
        <v>#NAME?</v>
      </c>
      <c r="BS20" s="377" t="str">
        <f>MAX(BS$7:BS$17)</f>
        <v>#NAME?</v>
      </c>
      <c r="BT20" s="378" t="str">
        <f t="array" ref="BT20">IF(BS$20&gt;0,INDEX(BP$7:BP$17,BS$20,1),BQ$17)</f>
        <v>#NAME?</v>
      </c>
      <c r="BU20" s="379" t="str">
        <f>BU7-BU16</f>
        <v>#DIV/0!</v>
      </c>
      <c r="BV20" s="282"/>
      <c r="BW20" s="282"/>
      <c r="BX20" s="282"/>
      <c r="BY20" s="376" t="str">
        <f t="array" ref="BY20">IF(BZ$20&gt;0,INDEX($J$7:$J$17,BZ$20,1),$J$17)</f>
        <v>#NAME?</v>
      </c>
      <c r="BZ20" s="377" t="str">
        <f>MAX(BZ$7:BZ$17)</f>
        <v>#NAME?</v>
      </c>
      <c r="CA20" s="378" t="str">
        <f t="array" ref="CA20">IF(BZ$20&gt;0,INDEX(BW$7:BW$17,BZ$20,1),BX$17)</f>
        <v>#NAME?</v>
      </c>
      <c r="CB20" s="379" t="str">
        <f>CB7-CB16</f>
        <v>#DIV/0!</v>
      </c>
      <c r="CC20" s="282"/>
      <c r="CD20" s="282"/>
      <c r="CE20" s="282"/>
      <c r="CF20" s="376" t="str">
        <f t="array" ref="CF20">IF(CG$20&gt;0,INDEX($J$7:$J$17,CG$20,1),$J$17)</f>
        <v>#NAME?</v>
      </c>
      <c r="CG20" s="377" t="str">
        <f>MAX(CG$7:CG$17)</f>
        <v>#NAME?</v>
      </c>
      <c r="CH20" s="378" t="str">
        <f t="array" ref="CH20">IF(CG$20&gt;0,INDEX(CD$7:CD$17,CG$20,1),CE$17)</f>
        <v>#NAME?</v>
      </c>
      <c r="CI20" s="379" t="str">
        <f>CI7-CI16</f>
        <v>#DIV/0!</v>
      </c>
      <c r="CJ20" s="282"/>
      <c r="CK20" s="282"/>
      <c r="CL20" s="282"/>
      <c r="CM20" s="376" t="str">
        <f t="array" ref="CM20">IF(CN$20&gt;0,INDEX($J$7:$J$17,CN$20,1),$J$17)</f>
        <v>#NAME?</v>
      </c>
      <c r="CN20" s="377" t="str">
        <f>MAX(CN$7:CN$17)</f>
        <v>#NAME?</v>
      </c>
      <c r="CO20" s="378" t="str">
        <f t="array" ref="CO20">IF(CN$20&gt;0,INDEX(CK$7:CK$17,CN$20,1),CL$17)</f>
        <v>#NAME?</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11.11</v>
      </c>
      <c r="F32" s="387">
        <f t="shared" si="80"/>
        <v>11.11</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11.11</v>
      </c>
      <c r="F33" s="387">
        <f t="shared" si="80"/>
        <v>11.11</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11.11</v>
      </c>
      <c r="F34" s="387">
        <f t="shared" si="80"/>
        <v>11.11</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11.11</v>
      </c>
      <c r="F35" s="387">
        <f t="shared" si="80"/>
        <v>11.11</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11.11</v>
      </c>
      <c r="F36" s="387">
        <f t="shared" si="80"/>
        <v>11.11</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11.11</v>
      </c>
      <c r="F37" s="387">
        <f t="shared" si="80"/>
        <v>11.11</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11.11</v>
      </c>
      <c r="F38" s="387">
        <f t="shared" si="80"/>
        <v>11.11</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11.11</v>
      </c>
      <c r="F39" s="387">
        <f t="shared" si="80"/>
        <v>11.11</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11.11</v>
      </c>
      <c r="F40" s="315">
        <f t="shared" si="80"/>
        <v>11.11</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hidden="1"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hidden="1"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hidden="1"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hidden="1"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hidden="1"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hidden="1"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hidden="1"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hidden="1"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1">
      <filters>
        <filter val="Abete (flusso perpendicolare alle fibre)"/>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654</v>
      </c>
      <c r="F4" s="428">
        <f>'Calcoli componente'!L26</f>
        <v>0.9463722397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7</v>
      </c>
      <c r="C6" s="426">
        <f>C5+'Caratteristiche componente'!$D8</f>
        <v>7</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7</v>
      </c>
      <c r="C7" s="426">
        <f>C6+'Caratteristiche componente'!$D9</f>
        <v>7</v>
      </c>
      <c r="D7" s="395"/>
      <c r="E7" s="395" t="s">
        <v>655</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7</v>
      </c>
      <c r="C8" s="426">
        <f>C7+'Caratteristiche componente'!$D10</f>
        <v>7</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7</v>
      </c>
      <c r="C9" s="426">
        <f>C8+'Caratteristiche componente'!$D11</f>
        <v>7</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7</v>
      </c>
      <c r="C10" s="426">
        <f>C9+'Caratteristiche componente'!$D12</f>
        <v>7</v>
      </c>
      <c r="D10" s="395"/>
      <c r="E10" s="395" t="s">
        <v>656</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7</v>
      </c>
      <c r="C11" s="426">
        <f>C10+'Caratteristiche componente'!$D13</f>
        <v>7</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7</v>
      </c>
      <c r="C12" s="426">
        <f>C11+'Caratteristiche componente'!$D14</f>
        <v>7</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7</v>
      </c>
      <c r="C13" s="426">
        <f>C12+'Caratteristiche componente'!$D15</f>
        <v>7</v>
      </c>
      <c r="D13" s="395"/>
      <c r="E13" s="395" t="s">
        <v>657</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7</v>
      </c>
      <c r="C14" s="426">
        <f>C13+'Caratteristiche componente'!$D16</f>
        <v>7</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