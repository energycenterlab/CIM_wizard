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name="ngiorni">#REF!</definedName>
    <definedName name="tsat">#REF!</definedName>
    <definedName localSheetId="9" name="OLE_LINK1">Materiali!$C$2</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<sst xmlns="http://schemas.openxmlformats.org/spreadsheetml/2006/main" count="1625" uniqueCount="660">
  <si>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</si>
  <si>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</si>
  <si>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</si>
  <si>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</si>
  <si>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</si>
  <si>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</si>
  <si>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</si>
  <si>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</si>
  <si>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</si>
  <si>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</si>
  <si>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</si>
  <si>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</si>
  <si>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</si>
  <si>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</si>
  <si>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</si>
  <si>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</si>
  <si>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</si>
  <si>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</si>
  <si>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</si>
  <si>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</si>
  <si>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</si>
  <si>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</si>
  <si>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</si>
  <si>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</si>
  <si>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</si>
  <si>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</si>
  <si>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</si>
  <si>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</si>
  <si>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</si>
  <si>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</si>
  <si>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</si>
  <si>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</si>
  <si>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</si>
  <si>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</si>
  <si>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</si>
  <si>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</si>
  <si>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</si>
  <si>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</si>
  <si>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</si>
  <si>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</si>
  <si>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</si>
  <si>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</si>
  <si>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</si>
  <si>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</si>
  <si>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</si>
  <si>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</si>
  <si>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tavella</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</si>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</sst>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58959299"/>
        <c:axId val="1291675236"/>
      </c:scatterChart>
      <c:valAx>
        <c:axId val="85895929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91675236"/>
      </c:valAx>
      <c:valAx>
        <c:axId val="129167523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8959299"/>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99275478"/>
        <c:axId val="372173241"/>
      </c:scatterChart>
      <c:valAx>
        <c:axId val="119927547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2173241"/>
      </c:valAx>
      <c:valAx>
        <c:axId val="37217324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927547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558692171"/>
        <c:axId val="17799981"/>
      </c:scatterChart>
      <c:valAx>
        <c:axId val="55869217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99981"/>
      </c:valAx>
      <c:valAx>
        <c:axId val="1779998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869217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97236980"/>
        <c:axId val="1246518898"/>
      </c:scatterChart>
      <c:valAx>
        <c:axId val="29723698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6518898"/>
      </c:valAx>
      <c:valAx>
        <c:axId val="1246518898"/>
        <c:scaling>
          <c:orientation val="minMax"/>
        </c:scaling>
        <c:delete val="0"/>
        <c:axPos val="l"/>
        <c:tickLblPos val="nextTo"/>
        <c:spPr>
          <a:ln>
            <a:noFill/>
          </a:ln>
        </c:spPr>
        <c:crossAx val="297236980"/>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35833717"/>
        <c:axId val="1483205195"/>
      </c:scatterChart>
      <c:valAx>
        <c:axId val="183583371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3205195"/>
      </c:valAx>
      <c:valAx>
        <c:axId val="1483205195"/>
        <c:scaling>
          <c:orientation val="minMax"/>
        </c:scaling>
        <c:delete val="0"/>
        <c:axPos val="l"/>
        <c:tickLblPos val="nextTo"/>
        <c:spPr>
          <a:ln>
            <a:noFill/>
          </a:ln>
        </c:spPr>
        <c:crossAx val="183583371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201099029"/>
        <c:axId val="1963851681"/>
      </c:scatterChart>
      <c:valAx>
        <c:axId val="2010990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3851681"/>
      </c:valAx>
      <c:valAx>
        <c:axId val="196385168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09902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8.5</v>
      </c>
      <c r="E8" s="74"/>
      <c r="F8" s="75"/>
      <c r="G8" s="76"/>
      <c r="H8" s="77">
        <v>0.75</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10.0</v>
      </c>
      <c r="E9" s="74">
        <v>1400.0</v>
      </c>
      <c r="F9" s="75"/>
      <c r="G9" s="76"/>
      <c r="H9" s="77">
        <v>0.5</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1.5</v>
      </c>
      <c r="E10" s="74"/>
      <c r="F10" s="75"/>
      <c r="G10" s="76"/>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4"/>
      <c r="I11" s="78"/>
      <c r="J11" s="79"/>
      <c r="K11" s="18"/>
      <c r="L11" s="18"/>
      <c r="M11" s="52" t="s">
        <v>54</v>
      </c>
      <c r="N11" s="95">
        <f>'Calcoli componente'!$K$26</f>
        <v>0.55</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1.818181818</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2.7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21</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140</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0" customHeight="1">
      <c r="A7" s="121" t="str">
        <f>ROMAN(1)</f>
        <v>I</v>
      </c>
      <c r="B7" s="139" t="str">
        <f>IF('Caratteristiche componente'!C7&lt;&gt;"",'Caratteristiche componente'!C7,"")</f>
        <v>piastrelle</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1</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v>
      </c>
      <c r="L7" s="147">
        <f t="shared" ref="L7:L17" si="4">IF($C7&gt;0,1/$K7,"")</f>
        <v>100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6">
        <f>'Caratteristiche componente'!D8</f>
        <v>8.5</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0</v>
      </c>
      <c r="J8" s="159">
        <f>IF($C8&gt;0,IF(OR('Caratteristiche componente'!$C8="intercapedine",'Caratteristiche componente'!$C8="aria",'Caratteristiche componente'!$C8="intercapedine d'aria"),0.01,$C8/100*$E8),0)</f>
        <v>0</v>
      </c>
      <c r="K8" s="160">
        <f t="shared" si="3"/>
        <v>0.1133333333</v>
      </c>
      <c r="L8" s="160">
        <f t="shared" si="4"/>
        <v>8.823529412</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tavella</v>
      </c>
      <c r="C9" s="156">
        <f>'Caratteristiche componente'!D9</f>
        <v>10</v>
      </c>
      <c r="D9" s="74">
        <f>IF('Caratteristiche componente'!E9&lt;&gt;"",'Caratteristiche componente'!E9,"")</f>
        <v>1400</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0.5</v>
      </c>
      <c r="H9" s="157" t="str">
        <f t="shared" si="1"/>
        <v>#DIV/0!</v>
      </c>
      <c r="I9" s="158">
        <f t="shared" si="2"/>
        <v>140</v>
      </c>
      <c r="J9" s="159">
        <f>IF($C9&gt;0,IF(OR('Caratteristiche componente'!$C9="intercapedine",'Caratteristiche componente'!$C9="aria",'Caratteristiche componente'!$C9="intercapedine d'aria"),0.01,$C9/100*$E9),0)</f>
        <v>0</v>
      </c>
      <c r="K9" s="160">
        <f t="shared" si="3"/>
        <v>0.2</v>
      </c>
      <c r="L9" s="160">
        <f t="shared" si="4"/>
        <v>5</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6">
        <f>'Caratteristiche componente'!D10</f>
        <v>1.5</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7" t="str">
        <f t="shared" si="1"/>
        <v>#DIV/0!</v>
      </c>
      <c r="I10" s="158">
        <f t="shared" si="2"/>
        <v>0</v>
      </c>
      <c r="J10" s="159">
        <f>IF($C10&gt;0,IF(OR('Caratteristiche componente'!$C10="intercapedine",'Caratteristiche componente'!$C10="aria",'Caratteristiche componente'!$C10="intercapedine d'aria"),0.01,$C10/100*$E10),0)</f>
        <v>0</v>
      </c>
      <c r="K10" s="160">
        <f t="shared" si="3"/>
        <v>0.01666666667</v>
      </c>
      <c r="L10" s="160">
        <f t="shared" si="4"/>
        <v>60</v>
      </c>
      <c r="M10" s="161">
        <f t="shared" si="5"/>
        <v>0</v>
      </c>
      <c r="N10" s="18"/>
      <c r="O10" s="162">
        <f>$M10*($K$22+$K$16+$K$15+$K$14+$K$13+$K$12+$K$11+$K10/2)</f>
        <v>0</v>
      </c>
      <c r="P10" s="161">
        <f>$M10*($K$21+$K$7+$K$8+$K$9+$K10/2)</f>
        <v>0</v>
      </c>
      <c r="Q10" s="18"/>
      <c r="R10" s="163" t="str">
        <f t="shared" si="6"/>
        <v>#DIV/0!</v>
      </c>
      <c r="S10" s="164" t="str">
        <f t="shared" si="7"/>
        <v>#DIV/0!</v>
      </c>
      <c r="T10" s="164" t="str">
        <f t="shared" si="8"/>
        <v>#DIV/0!</v>
      </c>
      <c r="U10" s="164" t="str">
        <f t="shared" si="9"/>
        <v>#DIV/0!</v>
      </c>
      <c r="V10" s="164" t="str">
        <f t="shared" si="10"/>
        <v>#DIV/0!</v>
      </c>
      <c r="W10" s="165" t="str">
        <f t="shared" si="11"/>
        <v>#DIV/0!</v>
      </c>
      <c r="X10" s="163" t="str">
        <f t="shared" si="12"/>
        <v>#DIV/0!</v>
      </c>
      <c r="Y10" s="164" t="str">
        <f t="shared" si="13"/>
        <v>#DIV/0!</v>
      </c>
      <c r="Z10" s="164" t="str">
        <f t="shared" si="14"/>
        <v>#DIV/0!</v>
      </c>
      <c r="AA10" s="166" t="str">
        <f t="shared" si="15"/>
        <v>#DIV/0!</v>
      </c>
      <c r="AB10" s="167" t="str">
        <f t="shared" si="16"/>
        <v>#DIV/0!</v>
      </c>
      <c r="AC10" s="163" t="str">
        <f t="shared" si="17"/>
        <v>#DIV/0!</v>
      </c>
      <c r="AD10" s="164" t="str">
        <f t="shared" si="18"/>
        <v>#DIV/0!</v>
      </c>
      <c r="AE10" s="164" t="str">
        <f t="shared" si="19"/>
        <v>#DIV/0!</v>
      </c>
      <c r="AF10" s="166" t="str">
        <f t="shared" si="20"/>
        <v>#DIV/0!</v>
      </c>
      <c r="AG10" s="167" t="str">
        <f t="shared" si="21"/>
        <v>#DIV/0!</v>
      </c>
      <c r="AH10" s="163" t="str">
        <f t="shared" si="22"/>
        <v>#DIV/0!</v>
      </c>
      <c r="AI10" s="164" t="str">
        <f t="shared" si="23"/>
        <v>#DIV/0!</v>
      </c>
      <c r="AJ10" s="164" t="str">
        <f t="shared" si="24"/>
        <v>#DIV/0!</v>
      </c>
      <c r="AK10" s="166" t="str">
        <f t="shared" si="25"/>
        <v>#DIV/0!</v>
      </c>
      <c r="AL10" s="167" t="str">
        <f t="shared" si="26"/>
        <v>#DIV/0!</v>
      </c>
      <c r="AM10" s="168" t="str">
        <f t="shared" si="27"/>
        <v>#DIV/0!</v>
      </c>
      <c r="AN10" s="164" t="str">
        <f t="shared" si="28"/>
        <v>#DIV/0!</v>
      </c>
      <c r="AO10" s="164" t="str">
        <f t="shared" si="29"/>
        <v>#DIV/0!</v>
      </c>
      <c r="AP10" s="166" t="str">
        <f t="shared" si="30"/>
        <v>#DIV/0!</v>
      </c>
      <c r="AQ10" s="167"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2.75" customHeight="1">
      <c r="A17" s="187" t="s">
        <v>111</v>
      </c>
      <c r="B17" s="188"/>
      <c r="C17" s="189">
        <f>SUM(C$7:C$16)</f>
        <v>21</v>
      </c>
      <c r="D17" s="188"/>
      <c r="E17" s="190"/>
      <c r="F17" s="190"/>
      <c r="G17" s="190"/>
      <c r="H17" s="191"/>
      <c r="I17" s="192">
        <f t="shared" ref="I17:K17" si="32">SUM(I$7:I$16)</f>
        <v>140</v>
      </c>
      <c r="J17" s="193">
        <f t="shared" si="32"/>
        <v>0</v>
      </c>
      <c r="K17" s="193">
        <f t="shared" si="32"/>
        <v>0.34</v>
      </c>
      <c r="L17" s="194">
        <f t="shared" si="4"/>
        <v>2.941176471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0"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0"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0" customHeight="1">
      <c r="A26" s="18"/>
      <c r="B26" s="18"/>
      <c r="C26" s="18"/>
      <c r="D26" s="18"/>
      <c r="E26" s="18"/>
      <c r="F26" s="18"/>
      <c r="G26" s="18"/>
      <c r="H26" s="18"/>
      <c r="I26" s="18"/>
      <c r="J26" s="18"/>
      <c r="K26" s="215">
        <f>$K$17+$K$21+$K$22</f>
        <v>0.55</v>
      </c>
      <c r="L26" s="216">
        <f>1/$K$26</f>
        <v>1.818181818</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2.7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2.7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2.7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0" customHeight="1">
      <c r="A3" s="241"/>
      <c r="B3" s="246"/>
      <c r="C3" s="247"/>
      <c r="D3" s="248">
        <f>'Calcoli componente'!$X$21</f>
        <v>1</v>
      </c>
      <c r="E3" s="249">
        <f>'Calcoli componente'!$Y$21</f>
        <v>0</v>
      </c>
      <c r="F3" s="249">
        <f>'Calcoli componente'!$AC$21</f>
        <v>-0.17</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t="str">
        <f>'Calcoli componente'!$X$10</f>
        <v>#DIV/0!</v>
      </c>
      <c r="U3" s="249" t="str">
        <f>'Calcoli componente'!$Y$10</f>
        <v>#DIV/0!</v>
      </c>
      <c r="V3" s="249" t="str">
        <f>'Calcoli componente'!$AC$10</f>
        <v>#DIV/0!</v>
      </c>
      <c r="W3" s="250" t="str">
        <f>'Calcoli componente'!$AD$10</f>
        <v>#DIV/0!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t="str">
        <f>-'Calcoli componente'!$Y$10</f>
        <v>#DIV/0!</v>
      </c>
      <c r="U4" s="249" t="str">
        <f>'Calcoli componente'!$X$10</f>
        <v>#DIV/0!</v>
      </c>
      <c r="V4" s="249" t="str">
        <f>-'Calcoli componente'!$AD$10</f>
        <v>#DIV/0!</v>
      </c>
      <c r="W4" s="250" t="str">
        <f>'Calcoli componente'!$AC$10</f>
        <v>#DIV/0!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2.7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t="str">
        <f>'Calcoli componente'!$AH$10</f>
        <v>#DIV/0!</v>
      </c>
      <c r="U5" s="249" t="str">
        <f>'Calcoli componente'!$AI$10</f>
        <v>#DIV/0!</v>
      </c>
      <c r="V5" s="249" t="str">
        <f>'Calcoli componente'!$AM$10</f>
        <v>#DIV/0!</v>
      </c>
      <c r="W5" s="250" t="str">
        <f>'Calcoli componente'!$AN$10</f>
        <v>#DIV/0!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t="str">
        <f>-'Calcoli componente'!$AI$10</f>
        <v>#DIV/0!</v>
      </c>
      <c r="U6" s="254" t="str">
        <f>'Calcoli componente'!$AH$10</f>
        <v>#DIV/0!</v>
      </c>
      <c r="V6" s="254" t="str">
        <f>-'Calcoli componente'!$AN$10</f>
        <v>#DIV/0!</v>
      </c>
      <c r="W6" s="255" t="str">
        <f>'Calcoli componente'!$AM$10</f>
        <v>#DIV/0!</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2.7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2.7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t="str">
        <f t="array" ref="V20">MMULT(T3:W6,Z20:AC23)</f>
        <v>#DIV/0!</v>
      </c>
      <c r="W20" s="249"/>
      <c r="X20" s="249"/>
      <c r="Y20" s="250"/>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c r="W21" s="249"/>
      <c r="X21" s="249"/>
      <c r="Y21" s="250"/>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c r="W22" s="249"/>
      <c r="X22" s="249"/>
      <c r="Y22" s="250"/>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c r="W23" s="254"/>
      <c r="X23" s="254"/>
      <c r="Y23" s="255"/>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0"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0"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0"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0"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0"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0"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0"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0"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0"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0"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0"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0"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0"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0"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0"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0"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0"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0"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0"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0"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0"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0"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0"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0"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0"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0"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0"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0"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0"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0"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0"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0"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0"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0"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0"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0"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0"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0"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0"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0"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0"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0"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0"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0"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0"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0"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0"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0"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0"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0"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0"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0"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0"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0"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0"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0"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0"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0"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0"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0"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0"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0"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0"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0"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0"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0"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0"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0"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0"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0"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0"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0"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0"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0"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0"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0"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0"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0"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0"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0"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0"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0"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0"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0"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0"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0"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0"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0"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0"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0"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0"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0"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0"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0"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0"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0"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0"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0"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0"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0"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0"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0"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0"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0"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0"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0"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0"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0"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0"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0"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0"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0"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0"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0"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0"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0"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0"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0"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0"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0"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0"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0"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0"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0"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0"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0"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0"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0"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0"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0"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0"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0"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0"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0"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0"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0"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0"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0"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0"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0"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0"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0"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0"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0"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0"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0"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0"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0"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0"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0"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0"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0"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0"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0"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0"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0"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0"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0"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0"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0"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0"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0"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0"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0"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0"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0"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0"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0"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0"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0"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0"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0"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0"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0"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0"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0"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0"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0"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0"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0"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0"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0"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0"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0"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0"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0"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0"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0"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0"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0"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0"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0"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0"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0"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0"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0"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0"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0"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0"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0"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0"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0"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0"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0"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0"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0"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0"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0"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0"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0"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0"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0"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0"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0"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0"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0"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0"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0"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0"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0"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0"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0"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0"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0"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0"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0"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0"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0"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0"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0"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0"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0"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0"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0"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0"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0"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0"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0"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0"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0"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0"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0"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0"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0"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0"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0"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0"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0"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0"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0"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0"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0"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0"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0"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0"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0"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0"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0"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0"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0"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0"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0"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0"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0"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0"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0"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0"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0"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0"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0"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0"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0"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0"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0"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0"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0"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0"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0"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0"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0"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0"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0"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0"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0"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0"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0"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0"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0"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0"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0"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0"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0"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0"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0"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0"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0"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0"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0"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0"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0"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0"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0"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0"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0"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0"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0"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0"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0"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0"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0"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0"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0"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0"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0"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0"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0"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0"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0"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0"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0"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0"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0"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0"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0"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0"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0"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0"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0"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0"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0"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0"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0"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0"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0"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0"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0"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0"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0"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0"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0"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0"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0"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0"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0"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0"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0"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0"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0"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0"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0"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0"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0"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0"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0"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0"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0"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0"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0"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0"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0"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0"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0"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0"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0"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0"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0"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0"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0"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0"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0"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0"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0"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0"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0"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0"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0"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0"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0"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0"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0"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0"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0"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0"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0"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0"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0"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0"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0"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0"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0"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0"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0"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0"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0"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0"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0"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0"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0"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0"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0"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0"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0"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0"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0"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0"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0"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0"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0"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0"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0"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0"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0"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0"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0"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0"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0"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0"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0"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0"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0"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0"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0"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0"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0"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0"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0"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0"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0"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0"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0"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0"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0"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0"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0"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0"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0"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0"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0"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0"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0"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0"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0"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0"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0"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0"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0"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0"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0"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0"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0"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0"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0"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0"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0"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0"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0"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0"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0"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0"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0"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0"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0"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0"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0"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0"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0"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0"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0"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0"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0"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0"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0"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0"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0"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0"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0"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0"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0"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0"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0"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0"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0"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0"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0"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0"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0"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0"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0"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0"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0"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0"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0"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0"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0"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0"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0"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0"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0"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0"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0"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0"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0"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0"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0"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0"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0"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0"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0"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0"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0"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0"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0"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0"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0"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0"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0"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0"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0"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0"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0"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0"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0"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0"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0"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0"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0"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0"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0"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0"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0"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0"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0"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0"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0"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0"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0"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0"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0"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0"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0"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0"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0"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0"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0"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0"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0"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0"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0"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0"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0"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0"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0"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0"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0"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0"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0"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0"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0"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0"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0"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0"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0"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0"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0"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0"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0"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0"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0"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0"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0"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0"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0"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0"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0"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0"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0"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0"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0"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0"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0"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0"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0"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0"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0"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0"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0"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0"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0"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0"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0"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0"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0"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0"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0"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0"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0"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0"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0"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0"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0"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0"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0"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0"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0"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0"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0"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0"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0"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0"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0"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0"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0"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0"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0"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0"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0"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0"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0"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0"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0"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0"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0"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0"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0"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0"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0"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0"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0"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0"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0"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0"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0"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0"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0"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0"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0"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0"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0"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0"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0"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0"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0"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0"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0"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0"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0"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0"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0"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0"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0"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0"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0"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0"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0"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0"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0"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0"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0"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0"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0"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0"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0"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0"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0"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0"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0"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0"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0"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0"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0"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0"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0"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0"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0"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0"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0"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0"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0"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0"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0"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0"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0"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0"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0"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0"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0"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0"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0"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0"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0"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0"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0"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0"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0"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0"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0"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0"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0"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0"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0"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0"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0"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0"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0"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0"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0"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0"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0"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0"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0"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0"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0"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0"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0"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0"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0"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0"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0"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0"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0"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0"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0"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0"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0"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0"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0"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0"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0"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0"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0"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0"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0"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0"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0"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0"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0"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0"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0"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0"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0"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0"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0"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0"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0"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0"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0"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0"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0"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0"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0"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0"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0"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0"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0"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0"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0"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0"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0"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0"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0"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0"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0"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0"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0"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0"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0"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0"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0"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0"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0"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0"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0"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0"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0"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0"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0"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0"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0"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0"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0"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0"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0"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0"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0"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0"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0"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0"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0"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0"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0"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0"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0"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0"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0"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0"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0"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0"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0"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0"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0"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0"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0"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0"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0"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0"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0"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0"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0"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0"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0"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0"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0"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0"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0"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0"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0"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0"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0"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0"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0"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0"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0"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0"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0"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0"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0"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0"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0"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0"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0"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0"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0"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0"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0"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0"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0"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0"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0"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0"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0"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0"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0"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0"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0"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0"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0"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0"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0"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0"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0"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0"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0"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0"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0"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0"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0"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0"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0"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0"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0"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0"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0"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0"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0"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0"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0"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0"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0"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0"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0"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0"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0"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0"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0"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0"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0"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0"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0"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0"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0"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0"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0"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0"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0"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0"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0"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0"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0"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0"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0"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0"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0"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0"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0"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0"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0"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0"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0"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0"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0"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0"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0"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0"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0"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0"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0"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0"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0"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0"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0"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0"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0"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0"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0"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0"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0"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0"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0"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0"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0"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0"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0"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0"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0"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0"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0"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0"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0"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0"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0"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0"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0"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0"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0"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0"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0"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0"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0"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0"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0"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0"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0"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0"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0"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0"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0"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0"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0"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0"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0"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0"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0"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0"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0"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0"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0"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0"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0"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0"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0"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0"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0"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0"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0"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0"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0"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0"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0"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0"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0"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0"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0"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0"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2.7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2.7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6.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2.7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0"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2.7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0"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0"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0"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0"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0"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0"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0"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0"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0"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0"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0"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0"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0"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0"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0"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0"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0"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0"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0"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2.7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7.25"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0"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0" customHeight="1">
      <c r="A7" s="344" t="str">
        <f>ROMAN(1)</f>
        <v>I</v>
      </c>
      <c r="B7" s="345" t="str">
        <f>'Calcoli componente'!B7</f>
        <v>piastrelle</v>
      </c>
      <c r="C7" s="346">
        <f>'Calcoli componente'!C7</f>
        <v>1</v>
      </c>
      <c r="D7" s="347" t="str">
        <f>'Calcoli componente'!E7</f>
        <v/>
      </c>
      <c r="E7" s="348">
        <f>'Calcoli componente'!G7</f>
        <v>1</v>
      </c>
      <c r="F7" s="349">
        <f>'Calcoli componente'!J7</f>
        <v>0</v>
      </c>
      <c r="G7" s="350">
        <f>'Calcoli componente'!K7</f>
        <v>0.01</v>
      </c>
      <c r="H7" s="282"/>
      <c r="I7" s="328" t="s">
        <v>367</v>
      </c>
      <c r="J7" s="351">
        <f>0</f>
        <v>0</v>
      </c>
      <c r="K7" s="352">
        <f>K6-(K$6-K$18)*0.25/$G$19</f>
        <v>12.22222222</v>
      </c>
      <c r="L7" s="309" t="str">
        <f t="shared" si="1"/>
        <v>#NAME?</v>
      </c>
      <c r="M7" s="309">
        <f>M6</f>
        <v>1389.18</v>
      </c>
      <c r="N7" s="309">
        <v>0.0</v>
      </c>
      <c r="O7" s="309" t="str">
        <f>IF(AND(N7&gt;0,N7=MAX(N$7:N$17)),1,0)</f>
        <v>#DIV/0!</v>
      </c>
      <c r="P7" s="309">
        <f>M7</f>
        <v>1389.18</v>
      </c>
      <c r="Q7" s="250" t="str">
        <f>0.0000000002*(P7-P8)/($J8-$J7)</f>
        <v>#DIV/0!</v>
      </c>
      <c r="R7" s="352">
        <f>R6-(R$6-R$18)*0.25/$G$19</f>
        <v>13.33333333</v>
      </c>
      <c r="S7" s="309" t="str">
        <f t="shared" si="2"/>
        <v>#NAME?</v>
      </c>
      <c r="T7" s="309">
        <f>T6</f>
        <v>1354.44</v>
      </c>
      <c r="U7" s="309">
        <v>0.0</v>
      </c>
      <c r="V7" s="309" t="str">
        <f>IF(AND(U7&gt;0,U7=MAX(U$7:U$17)),1,0)</f>
        <v>#DIV/0!</v>
      </c>
      <c r="W7" s="309">
        <f>T7</f>
        <v>1354.44</v>
      </c>
      <c r="X7" s="250" t="str">
        <f>0.0000000002*(W7-W8)/($J8-$J7)</f>
        <v>#DIV/0!</v>
      </c>
      <c r="Y7" s="352">
        <f>Y6-(Y$6-Y$18)*0.25/$G$19</f>
        <v>15.31746032</v>
      </c>
      <c r="Z7" s="309" t="str">
        <f t="shared" si="3"/>
        <v>#NAME?</v>
      </c>
      <c r="AA7" s="309">
        <f>AA6</f>
        <v>1108.69</v>
      </c>
      <c r="AB7" s="309">
        <v>0.0</v>
      </c>
      <c r="AC7" s="309" t="str">
        <f>IF(AND(AB7&gt;0,AB7=MAX(AB$7:AB$17)),1,0)</f>
        <v>#DIV/0!</v>
      </c>
      <c r="AD7" s="309">
        <f>AA7</f>
        <v>1108.69</v>
      </c>
      <c r="AE7" s="250" t="str">
        <f>0.0000000002*(AD7-AD8)/($J8-$J7)</f>
        <v>#DIV/0!</v>
      </c>
      <c r="AF7" s="352">
        <f>AF6-(AF$6-AF$18)*0.25/$G$19</f>
        <v>17.1031746</v>
      </c>
      <c r="AG7" s="309" t="str">
        <f t="shared" si="4"/>
        <v>#NAME?</v>
      </c>
      <c r="AH7" s="309">
        <f>AH6</f>
        <v>1129.215</v>
      </c>
      <c r="AI7" s="309">
        <v>0.0</v>
      </c>
      <c r="AJ7" s="309" t="str">
        <f>IF(AND(AI7&gt;0,AI7=MAX(AI$7:AI$17)),1,0)</f>
        <v>#DIV/0!</v>
      </c>
      <c r="AK7" s="309">
        <f>AH7</f>
        <v>1129.215</v>
      </c>
      <c r="AL7" s="250" t="str">
        <f>0.0000000002*(AK7-AK8)/($J8-$J7)</f>
        <v>#DIV/0!</v>
      </c>
      <c r="AM7" s="352">
        <f>AM6-(AM$6-AM$18)*0.25/$G$19</f>
        <v>18.69047619</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19.52380952</v>
      </c>
      <c r="BP7" s="309" t="str">
        <f t="shared" si="9"/>
        <v>#NAME?</v>
      </c>
      <c r="BQ7" s="309">
        <f>BQ6</f>
        <v>1557.46</v>
      </c>
      <c r="BR7" s="309">
        <v>0.0</v>
      </c>
      <c r="BS7" s="309" t="str">
        <f>IF(AND(BR7&gt;0,BR7=MAX(BR$7:BR$17)),1,0)</f>
        <v>#DIV/0!</v>
      </c>
      <c r="BT7" s="309">
        <f>BQ7</f>
        <v>1557.46</v>
      </c>
      <c r="BU7" s="250" t="str">
        <f>0.0000000002*(BT7-BT8)/($J8-$J7)</f>
        <v>#DIV/0!</v>
      </c>
      <c r="BV7" s="352">
        <f>BV6-(BV$6-BV$18)*0.25/$G$19</f>
        <v>17.06349206</v>
      </c>
      <c r="BW7" s="309" t="str">
        <f t="shared" si="10"/>
        <v>#NAME?</v>
      </c>
      <c r="BX7" s="309">
        <f>BX6</f>
        <v>1509.67</v>
      </c>
      <c r="BY7" s="309">
        <v>0.0</v>
      </c>
      <c r="BZ7" s="309" t="str">
        <f>IF(AND(BY7&gt;0,BY7=MAX(BY$7:BY$17)),1,0)</f>
        <v>#DIV/0!</v>
      </c>
      <c r="CA7" s="309">
        <f>BX7</f>
        <v>1509.67</v>
      </c>
      <c r="CB7" s="250" t="str">
        <f>0.0000000002*(CA7-CA8)/($J8-$J7)</f>
        <v>#DIV/0!</v>
      </c>
      <c r="CC7" s="352">
        <f>CC6-(CC$6-CC$18)*0.25/$G$19</f>
        <v>14.76190476</v>
      </c>
      <c r="CD7" s="309" t="str">
        <f t="shared" si="11"/>
        <v>#NAME?</v>
      </c>
      <c r="CE7" s="309">
        <f>CE6</f>
        <v>1429.06</v>
      </c>
      <c r="CF7" s="309">
        <v>0.0</v>
      </c>
      <c r="CG7" s="309" t="str">
        <f>IF(AND(CF7&gt;0,CF7=MAX(CF$7:CF$17)),1,0)</f>
        <v>#DIV/0!</v>
      </c>
      <c r="CH7" s="309">
        <f>CE7</f>
        <v>1429.06</v>
      </c>
      <c r="CI7" s="250" t="str">
        <f>0.0000000002*(CH7-CH8)/($J8-$J7)</f>
        <v>#DIV/0!</v>
      </c>
      <c r="CJ7" s="352">
        <f>CJ6-(CJ$6-CJ$18)*0.25/$G$19</f>
        <v>12.85714286</v>
      </c>
      <c r="CK7" s="309" t="str">
        <f t="shared" si="12"/>
        <v>#NAME?</v>
      </c>
      <c r="CL7" s="309">
        <f>CL6</f>
        <v>1407.9</v>
      </c>
      <c r="CM7" s="309">
        <v>0.0</v>
      </c>
      <c r="CN7" s="309" t="str">
        <f>IF(AND(CM7&gt;0,CM7=MAX(CM$7:CM$17)),1,0)</f>
        <v>#DIV/0!</v>
      </c>
      <c r="CO7" s="309">
        <f>CL7</f>
        <v>1407.9</v>
      </c>
      <c r="CP7" s="250" t="str">
        <f>0.0000000002*(CO7-CO8)/($J8-$J7)</f>
        <v>#DIV/0!</v>
      </c>
    </row>
    <row r="8" ht="12.0" customHeight="1">
      <c r="A8" s="331" t="str">
        <f>ROMAN(2)</f>
        <v>II</v>
      </c>
      <c r="B8" s="353" t="str">
        <f>IF('Caratteristiche componente'!C8&lt;&gt;"",'Caratteristiche componente'!C8,"")</f>
        <v>cls</v>
      </c>
      <c r="C8" s="354">
        <f>'Calcoli componente'!C8</f>
        <v>8.5</v>
      </c>
      <c r="D8" s="308" t="str">
        <f>'Calcoli componente'!E8</f>
        <v/>
      </c>
      <c r="E8" s="355">
        <f>'Calcoli componente'!G8</f>
        <v>0.75</v>
      </c>
      <c r="F8" s="356">
        <f>'Calcoli componente'!J8</f>
        <v>0</v>
      </c>
      <c r="G8" s="357">
        <f>'Calcoli componente'!K8</f>
        <v>0.1133333333</v>
      </c>
      <c r="H8" s="282"/>
      <c r="I8" s="328" t="s">
        <v>368</v>
      </c>
      <c r="J8" s="351">
        <f t="shared" ref="J8:J17" si="13">J7+F7</f>
        <v>0</v>
      </c>
      <c r="K8" s="352">
        <f t="shared" ref="K8:K17" si="14">K7-(K$6-K$18)*$G7/$G$19</f>
        <v>11.91111111</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13.06666667</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15.13015873</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16.98730159</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18.63809524</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19.5047619</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16.94603175</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14.55238095</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12.57142857</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0" customHeight="1">
      <c r="A9" s="331" t="str">
        <f>ROMAN(3)</f>
        <v>III</v>
      </c>
      <c r="B9" s="353" t="str">
        <f>IF('Caratteristiche componente'!C9&lt;&gt;"",'Caratteristiche componente'!C9,"")</f>
        <v>tavella</v>
      </c>
      <c r="C9" s="354">
        <f>'Calcoli componente'!C9</f>
        <v>10</v>
      </c>
      <c r="D9" s="308" t="str">
        <f>'Calcoli componente'!E9</f>
        <v/>
      </c>
      <c r="E9" s="355">
        <f>'Calcoli componente'!G9</f>
        <v>0.5</v>
      </c>
      <c r="F9" s="356">
        <f>'Calcoli componente'!J9</f>
        <v>0</v>
      </c>
      <c r="G9" s="357">
        <f>'Calcoli componente'!K9</f>
        <v>0.2</v>
      </c>
      <c r="H9" s="282"/>
      <c r="I9" s="328" t="s">
        <v>369</v>
      </c>
      <c r="J9" s="351">
        <f t="shared" si="13"/>
        <v>0</v>
      </c>
      <c r="K9" s="352">
        <f t="shared" si="14"/>
        <v>8.385185185</v>
      </c>
      <c r="L9" s="309" t="str">
        <f t="shared" si="1"/>
        <v>#NAME?</v>
      </c>
      <c r="M9" s="309" t="str">
        <f t="shared" si="15"/>
        <v>#DIV/0!</v>
      </c>
      <c r="N9" s="309" t="str">
        <f t="shared" si="16"/>
        <v>#DIV/0!</v>
      </c>
      <c r="O9" s="309" t="str">
        <f>IF(AND(N9&gt;0,N9=MAX(N$7:N$17)),3,0)</f>
        <v>#DIV/0!</v>
      </c>
      <c r="P9" s="309">
        <f t="shared" si="17"/>
        <v>1389.18</v>
      </c>
      <c r="Q9" s="250" t="str">
        <f t="shared" si="18"/>
        <v>#DIV/0!</v>
      </c>
      <c r="R9" s="352">
        <f t="shared" si="19"/>
        <v>10.04444444</v>
      </c>
      <c r="S9" s="309" t="str">
        <f t="shared" si="2"/>
        <v>#NAME?</v>
      </c>
      <c r="T9" s="309" t="str">
        <f t="shared" si="20"/>
        <v>#DIV/0!</v>
      </c>
      <c r="U9" s="309" t="str">
        <f t="shared" si="21"/>
        <v>#DIV/0!</v>
      </c>
      <c r="V9" s="309" t="str">
        <f>IF(AND(U9&gt;0,U9=MAX(U$7:U$17)),3,0)</f>
        <v>#DIV/0!</v>
      </c>
      <c r="W9" s="309">
        <f t="shared" si="22"/>
        <v>1354.44</v>
      </c>
      <c r="X9" s="250" t="str">
        <f t="shared" si="23"/>
        <v>#DIV/0!</v>
      </c>
      <c r="Y9" s="352">
        <f t="shared" si="24"/>
        <v>13.00740741</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15.67407407</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18.04444444</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19.28888889</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15.61481481</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12.17777778</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9.333333333</v>
      </c>
      <c r="CK9" s="309" t="str">
        <f t="shared" si="12"/>
        <v>#NAME?</v>
      </c>
      <c r="CL9" s="309" t="str">
        <f t="shared" si="70"/>
        <v>#DIV/0!</v>
      </c>
      <c r="CM9" s="309" t="str">
        <f t="shared" si="71"/>
        <v>#DIV/0!</v>
      </c>
      <c r="CN9" s="309" t="str">
        <f>IF(AND(CM9&gt;0,CM9=MAX(CM$7:CM$17)),3,0)</f>
        <v>#DIV/0!</v>
      </c>
      <c r="CO9" s="309">
        <f t="shared" si="72"/>
        <v>1407.9</v>
      </c>
      <c r="CP9" s="250" t="str">
        <f t="shared" si="73"/>
        <v>#DIV/0!</v>
      </c>
    </row>
    <row r="10" ht="12.0" customHeight="1">
      <c r="A10" s="331" t="str">
        <f>ROMAN(4)</f>
        <v>IV</v>
      </c>
      <c r="B10" s="353" t="str">
        <f>IF('Caratteristiche componente'!C10&lt;&gt;"",'Caratteristiche componente'!C10,"")</f>
        <v>intonaco</v>
      </c>
      <c r="C10" s="354">
        <f>'Calcoli componente'!C10</f>
        <v>1.5</v>
      </c>
      <c r="D10" s="308" t="str">
        <f>'Calcoli componente'!E10</f>
        <v/>
      </c>
      <c r="E10" s="355">
        <f>'Calcoli componente'!G10</f>
        <v>0.9</v>
      </c>
      <c r="F10" s="356">
        <f>'Calcoli componente'!J10</f>
        <v>0</v>
      </c>
      <c r="G10" s="357">
        <f>'Calcoli componente'!K10</f>
        <v>0.01666666667</v>
      </c>
      <c r="H10" s="282"/>
      <c r="I10" s="328" t="s">
        <v>370</v>
      </c>
      <c r="J10" s="351">
        <f t="shared" si="13"/>
        <v>0</v>
      </c>
      <c r="K10" s="352">
        <f t="shared" si="14"/>
        <v>2.162962963</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4.711111111</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9.261375661</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13.35661376</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16.9968254</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18.90793651</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13.26560847</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7.987301587</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3.619047619</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0"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0</v>
      </c>
      <c r="K11" s="352">
        <f t="shared" si="14"/>
        <v>1.644444444</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4.266666667</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8.949206349</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13.16349206</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16.90952381</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18.87619048</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13.06984127</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7.638095238</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3.142857143</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0"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0</v>
      </c>
      <c r="K12" s="352">
        <f t="shared" si="14"/>
        <v>1.644444444</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4.266666667</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8.949206349</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13.16349206</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16.90952381</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18.87619048</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13.06984127</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7.638095238</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3.142857143</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0"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0</v>
      </c>
      <c r="K13" s="352">
        <f t="shared" si="14"/>
        <v>1.644444444</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4.266666667</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8.949206349</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13.16349206</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16.90952381</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18.87619048</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13.06984127</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7.638095238</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3.142857143</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0"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0</v>
      </c>
      <c r="K14" s="352">
        <f t="shared" si="14"/>
        <v>1.644444444</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4.266666667</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8.949206349</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13.16349206</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16.90952381</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18.87619048</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13.06984127</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7.638095238</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3.142857143</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0"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0</v>
      </c>
      <c r="K15" s="352">
        <f t="shared" si="14"/>
        <v>1.644444444</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4.266666667</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8.949206349</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13.16349206</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16.90952381</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18.87619048</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13.06984127</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7.638095238</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3.142857143</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2.7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0</v>
      </c>
      <c r="K16" s="352">
        <f t="shared" si="14"/>
        <v>1.644444444</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4.266666667</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8.949206349</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13.16349206</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16.90952381</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18.87619048</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13.06984127</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7.638095238</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3.142857143</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2.75" customHeight="1">
      <c r="A17" s="362" t="s">
        <v>111</v>
      </c>
      <c r="B17" s="363"/>
      <c r="C17" s="364">
        <f>SUM(C$7:C$16)</f>
        <v>21</v>
      </c>
      <c r="D17" s="363"/>
      <c r="E17" s="365"/>
      <c r="F17" s="366">
        <f t="shared" ref="F17:G17" si="74">SUM(F$7:F$16)</f>
        <v>0</v>
      </c>
      <c r="G17" s="367">
        <f t="shared" si="74"/>
        <v>0.34</v>
      </c>
      <c r="H17" s="282"/>
      <c r="I17" s="328" t="s">
        <v>377</v>
      </c>
      <c r="J17" s="351">
        <f t="shared" si="13"/>
        <v>0</v>
      </c>
      <c r="K17" s="352">
        <f t="shared" si="14"/>
        <v>1.644444444</v>
      </c>
      <c r="L17" s="309" t="str">
        <f t="shared" si="1"/>
        <v>#NAME?</v>
      </c>
      <c r="M17" s="309">
        <f>M18</f>
        <v>516</v>
      </c>
      <c r="N17" s="309" t="str">
        <f t="shared" si="16"/>
        <v>#NAME?</v>
      </c>
      <c r="O17" s="309" t="str">
        <f>IF(AND(N17&gt;0,N17=MAX(N$7:N$17)),11,0)</f>
        <v>#NAME?</v>
      </c>
      <c r="P17" s="309">
        <f>M17</f>
        <v>516</v>
      </c>
      <c r="Q17" s="368"/>
      <c r="R17" s="352">
        <f t="shared" si="19"/>
        <v>4.266666667</v>
      </c>
      <c r="S17" s="309" t="str">
        <f t="shared" si="2"/>
        <v>#NAME?</v>
      </c>
      <c r="T17" s="309">
        <f>T18</f>
        <v>606</v>
      </c>
      <c r="U17" s="309" t="str">
        <f t="shared" si="21"/>
        <v>#NAME?</v>
      </c>
      <c r="V17" s="309" t="str">
        <f>IF(AND(U17&gt;0,U17=MAX(U$7:U$17)),11,0)</f>
        <v>#NAME?</v>
      </c>
      <c r="W17" s="309">
        <f>T17</f>
        <v>606</v>
      </c>
      <c r="X17" s="368"/>
      <c r="Y17" s="352">
        <f t="shared" si="24"/>
        <v>8.949206349</v>
      </c>
      <c r="Z17" s="309" t="str">
        <f t="shared" si="3"/>
        <v>#NAME?</v>
      </c>
      <c r="AA17" s="309">
        <f>AA18</f>
        <v>583</v>
      </c>
      <c r="AB17" s="309" t="str">
        <f t="shared" si="26"/>
        <v>#NAME?</v>
      </c>
      <c r="AC17" s="309" t="str">
        <f>IF(AND(AB17&gt;0,AB17=MAX(AB$7:AB$17)),11,0)</f>
        <v>#NAME?</v>
      </c>
      <c r="AD17" s="309">
        <f>AA17</f>
        <v>583</v>
      </c>
      <c r="AE17" s="368"/>
      <c r="AF17" s="352">
        <f t="shared" si="29"/>
        <v>13.16349206</v>
      </c>
      <c r="AG17" s="309" t="str">
        <f t="shared" si="4"/>
        <v>#NAME?</v>
      </c>
      <c r="AH17" s="309">
        <f>AH18</f>
        <v>804</v>
      </c>
      <c r="AI17" s="309" t="str">
        <f t="shared" si="31"/>
        <v>#NAME?</v>
      </c>
      <c r="AJ17" s="309" t="str">
        <f>IF(AND(AI17&gt;0,AI17=MAX(AI$7:AI$17)),11,0)</f>
        <v>#NAME?</v>
      </c>
      <c r="AK17" s="309">
        <f>AH17</f>
        <v>804</v>
      </c>
      <c r="AL17" s="368"/>
      <c r="AM17" s="352">
        <f t="shared" si="34"/>
        <v>16.90952381</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18.87619048</v>
      </c>
      <c r="BP17" s="309" t="str">
        <f t="shared" si="9"/>
        <v>#NAME?</v>
      </c>
      <c r="BQ17" s="309">
        <f>BQ18</f>
        <v>1504</v>
      </c>
      <c r="BR17" s="309" t="str">
        <f t="shared" si="56"/>
        <v>#NAME?</v>
      </c>
      <c r="BS17" s="309" t="str">
        <f>IF(AND(BR17&gt;0,BR17=MAX(BR$7:BR$17)),11,0)</f>
        <v>#NAME?</v>
      </c>
      <c r="BT17" s="309">
        <f>BQ17</f>
        <v>1504</v>
      </c>
      <c r="BU17" s="368"/>
      <c r="BV17" s="352">
        <f t="shared" si="59"/>
        <v>13.06984127</v>
      </c>
      <c r="BW17" s="309" t="str">
        <f t="shared" si="10"/>
        <v>#NAME?</v>
      </c>
      <c r="BX17" s="309">
        <f>BX18</f>
        <v>1180</v>
      </c>
      <c r="BY17" s="309" t="str">
        <f t="shared" si="61"/>
        <v>#NAME?</v>
      </c>
      <c r="BZ17" s="309" t="str">
        <f>IF(AND(BY17&gt;0,BY17=MAX(BY$7:BY$17)),11,0)</f>
        <v>#NAME?</v>
      </c>
      <c r="CA17" s="309">
        <f>BX17</f>
        <v>1180</v>
      </c>
      <c r="CB17" s="368"/>
      <c r="CC17" s="352">
        <f t="shared" si="64"/>
        <v>7.638095238</v>
      </c>
      <c r="CD17" s="309" t="str">
        <f t="shared" si="11"/>
        <v>#NAME?</v>
      </c>
      <c r="CE17" s="309">
        <f>CE18</f>
        <v>841</v>
      </c>
      <c r="CF17" s="309" t="str">
        <f t="shared" si="66"/>
        <v>#NAME?</v>
      </c>
      <c r="CG17" s="309" t="str">
        <f>IF(AND(CF17&gt;0,CF17=MAX(CF$7:CF$17)),11,0)</f>
        <v>#NAME?</v>
      </c>
      <c r="CH17" s="309">
        <f>CE17</f>
        <v>841</v>
      </c>
      <c r="CI17" s="368"/>
      <c r="CJ17" s="352">
        <f t="shared" si="69"/>
        <v>3.142857143</v>
      </c>
      <c r="CK17" s="309" t="str">
        <f t="shared" si="12"/>
        <v>#NAME?</v>
      </c>
      <c r="CL17" s="309">
        <f>CL18</f>
        <v>606</v>
      </c>
      <c r="CM17" s="309" t="str">
        <f t="shared" si="71"/>
        <v>#NAME?</v>
      </c>
      <c r="CN17" s="309" t="str">
        <f>IF(AND(CM17&gt;0,CM17=MAX(CM$7:CM$17)),11,0)</f>
        <v>#NAME?</v>
      </c>
      <c r="CO17" s="309">
        <f>CL17</f>
        <v>606</v>
      </c>
      <c r="CP17" s="368"/>
    </row>
    <row r="18" ht="12.7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2.75" customHeight="1">
      <c r="A19" s="282"/>
      <c r="B19" s="282"/>
      <c r="C19" s="282"/>
      <c r="D19" s="282"/>
      <c r="E19" s="282"/>
      <c r="F19" s="282"/>
      <c r="G19" s="374">
        <f>G17+0.25+0.04</f>
        <v>0.63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0.6031746032</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0"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0"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0"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2.7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2.7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0"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0" customHeight="1">
      <c r="A31" s="282"/>
      <c r="B31" s="282"/>
      <c r="C31" s="331" t="s">
        <v>368</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0" customHeight="1">
      <c r="A32" s="282"/>
      <c r="B32" s="282"/>
      <c r="C32" s="331" t="s">
        <v>369</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0" customHeight="1">
      <c r="A33" s="282"/>
      <c r="B33" s="282"/>
      <c r="C33" s="331" t="s">
        <v>370</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0" customHeight="1">
      <c r="A34" s="282"/>
      <c r="B34" s="282"/>
      <c r="C34" s="331" t="s">
        <v>371</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0" customHeight="1">
      <c r="A35" s="282"/>
      <c r="B35" s="282"/>
      <c r="C35" s="331" t="s">
        <v>372</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0" customHeight="1">
      <c r="A36" s="282"/>
      <c r="B36" s="282"/>
      <c r="C36" s="331" t="s">
        <v>373</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0" customHeight="1">
      <c r="A37" s="282"/>
      <c r="B37" s="282"/>
      <c r="C37" s="331" t="s">
        <v>374</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0" customHeight="1">
      <c r="A38" s="282"/>
      <c r="B38" s="282"/>
      <c r="C38" s="331" t="s">
        <v>375</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0" customHeight="1">
      <c r="A39" s="282"/>
      <c r="B39" s="282"/>
      <c r="C39" s="331" t="s">
        <v>376</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2.75" customHeight="1">
      <c r="A40" s="282"/>
      <c r="B40" s="282"/>
      <c r="C40" s="333" t="s">
        <v>377</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0"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0"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0"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0"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0"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0"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0"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0"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0"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0"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0"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0"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0"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0"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0"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0"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0"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0"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0"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0"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0"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0"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0"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0"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0"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0"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0"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0"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0"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0"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0"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0"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0"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0"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0"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0"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0"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0"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0"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0"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0"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0"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0"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0"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0"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0"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0"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0"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0"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0"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0"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0"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0"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0"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0"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0"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0"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0"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0"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0"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0"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0"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0"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0"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0"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0"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0"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0"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0"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0"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0"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0"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0"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0"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0"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0"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0"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0"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0"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0"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0"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0"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0"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0"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0"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0"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0"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0"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0"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0"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0"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0"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0"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0"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0"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0"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0"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0"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0"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0"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0"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0"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0"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0"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0"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0"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0"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0"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0"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0"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0"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0"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0"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0"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0"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0"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0"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0"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0"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0"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0"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0"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0"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0"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0"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0"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0"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0"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0"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0"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0"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0"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0"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0"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0"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0"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0"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0"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0"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0"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0"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0"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0"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0"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0"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0"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0"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0"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0"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0"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0"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0"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0"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0"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0"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0"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0"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0"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0"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0"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0"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0"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0"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0"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0"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0"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0"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0"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0"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0"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0"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0"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0"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0"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0"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0"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0"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0"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0"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0"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0"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0"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0"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0"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0"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0"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0"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0"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0"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0"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0"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0"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0"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0"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0"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0"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0"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0"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0"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0"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0"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0"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0"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0"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0"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0"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0"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0"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0"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0"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0"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0"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0"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0"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0"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0"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0"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0"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0"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0"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0"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0"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0"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0"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0"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0"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0"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0"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0"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0"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0"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0"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0"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0"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0"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0"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0"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0"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0"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0"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0"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0"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0"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0"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0"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0"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0"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0"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0"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0"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0"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0"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0"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0"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0"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0"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0"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0"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0"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0"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0"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0"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0"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0"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0"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0"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0"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0"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0"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0"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0"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0"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0"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0"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0"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0"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0"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0"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0"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0"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0"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0"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0"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0"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0"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0"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0"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0"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0"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0"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0"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0"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0"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0"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0"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0"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0"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0"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0"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0"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0"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0"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0"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0"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0"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0"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0"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0"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0"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0"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0"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0"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0"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0"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0"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0"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0"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0"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0"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0"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0"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0"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0"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0"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0"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0"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0"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0"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0"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0"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0"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0"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0"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0"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0"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0"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0"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0"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0"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0"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0"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0"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0"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0"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0"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0"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0"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0"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0"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0"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0"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0"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0"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0"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0"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0"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0"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0"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0"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0"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0"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0"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0"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0"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0"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0"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0"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0"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0"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0"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0"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0"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0"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0"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0"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0"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0"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0"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0"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0"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0"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0"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0"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0"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0"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0"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0"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0"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0"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0"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0"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0"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0"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0"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0"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0"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0"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0"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0"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0"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0"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0"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0"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0"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0"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0"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0"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0"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0"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0"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0"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0"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0"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0"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0"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0"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0"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0"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0"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0"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0"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0"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0"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0"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0"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0"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0"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0"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0"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0"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0"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0"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0"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0"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0"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0"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0"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0"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0"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0"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0"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0"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0"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0"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0"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0"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0"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0"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0"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0"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0"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0"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0"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0"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0"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0"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0"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0"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0"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0"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0"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0"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0"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0"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0"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0"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0"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0"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0"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0"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0"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0"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0"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0"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0"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0"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0"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0"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0"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0"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0"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0"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0"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0"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0"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0"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0"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0"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0"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0"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0"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0"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0"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0"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0"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0"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0"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0"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0"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0"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0"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0"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0"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0"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0"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0"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0"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0"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0"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0"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0"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0"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0"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0"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0"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0"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0"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0"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0"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0"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0"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0"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0"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0"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0"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0"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0"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0"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0"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0"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0"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0"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0"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0"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0"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0"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0"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0"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0"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0"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0"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0"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0"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0"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0"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0"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0"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0"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0"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0"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0"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0"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0"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0"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0"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0"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0"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0"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0"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0"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0"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0"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0"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0"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0"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0"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0"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0"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0"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0"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0"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0"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0"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0"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0"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0"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0"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0"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0"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0"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0"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0"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0"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0"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0"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0"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0"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0"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0"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0"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0"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0"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0"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0"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0"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0"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0"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0"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0"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0"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0"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0"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0"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0"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0"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0"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0"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0"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0"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0"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0"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0"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0"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0"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0"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0"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0"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0"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0"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0"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0"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0"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0"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0"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0"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0"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0"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0"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0"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0"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0"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0"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0"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0"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0"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0"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0"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0"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0"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0"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0"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0"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0"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0"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0"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0"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0"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0"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0"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0"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0"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0"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0"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0"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0"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0"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0"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0"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0"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0"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0"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0"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0"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0"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0"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0"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0"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0"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0"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0"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0"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0"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0"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0"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0"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0"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0"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0"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0"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0"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0"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0"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0"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0"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0"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0"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0"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0"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0"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0"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0"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0"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0"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0"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0"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0"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0"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0"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0"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0"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0"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0"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0"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0"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0"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0"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0"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0"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0"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0"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0"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0"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0"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0"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0"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0"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0"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0"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0"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0"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0"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0"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0"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0"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0"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0"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0"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0"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0"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0"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0"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0"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0"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0"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0"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0"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0"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0"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0"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0"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0"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0"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0"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0"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0"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0"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0"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0"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0"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0"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0"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0"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0"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0"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0"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0"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0"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0"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0"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0"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0"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0"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0"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0"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0"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0"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0"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0"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0"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0"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0"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0"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0"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0"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0"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0"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0"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0"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0"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0"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0"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0"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0"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0"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0"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0"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0"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0"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0"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0"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0"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0"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0"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0"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0"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0"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0"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0"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0"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0"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0"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0"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0"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0"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0"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0"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0"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0"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0"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0"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0"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0"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0"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0"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0"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0"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0"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0"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0"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0"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0"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0"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0"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0"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0"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0"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0"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0"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0"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0"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0"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0"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0"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0"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0"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0"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0"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0"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0"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0"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0"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0"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0"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0"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0"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0"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0"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0"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0"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0"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0"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0"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0"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0"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0"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0"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0"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0"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0"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0"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0"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0"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0"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0"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0"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0"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0"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0"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0"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0"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0"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0"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0"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0"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0"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0"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0"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0"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0"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0"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0"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0"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0"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0"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0"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0"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0"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0"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0"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0"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0"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0"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0"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0"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0"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0"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0"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0"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0"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0"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0"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0"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0"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0"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0"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0"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0"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0"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0"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0"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0"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0"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0"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0"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0"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0"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0"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0"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0"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0"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0"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0"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0"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0"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0"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0"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0"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0"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0"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0"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0"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0"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0"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0"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0"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0"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0"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0"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0"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0"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0"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0"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0"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0"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0"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0"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0"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0"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0"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0"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0"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0"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0"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0"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0"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0"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0"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0"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0"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0"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0" customHeight="1">
      <c r="C103" s="392"/>
    </row>
    <row r="104" ht="12.0" customHeight="1">
      <c r="C104" s="392"/>
    </row>
    <row r="105" ht="12.0" customHeight="1">
      <c r="C105" s="392"/>
    </row>
    <row r="106" ht="12.0" customHeight="1">
      <c r="C106" s="392"/>
    </row>
    <row r="107" ht="12.0" customHeight="1">
      <c r="C107" s="392"/>
    </row>
    <row r="108" ht="12.0" customHeight="1">
      <c r="C108" s="392"/>
    </row>
    <row r="109" ht="12.0" customHeight="1">
      <c r="C109" s="392"/>
    </row>
    <row r="110" ht="12.0" customHeight="1">
      <c r="C110" s="392"/>
    </row>
    <row r="111" ht="12.0" customHeight="1">
      <c r="C111" s="392"/>
    </row>
    <row r="112" ht="12.0" customHeight="1">
      <c r="C112" s="392"/>
    </row>
    <row r="113" ht="12.0" customHeight="1">
      <c r="C113" s="392"/>
    </row>
    <row r="114" ht="12.0" customHeight="1">
      <c r="C114" s="392"/>
    </row>
    <row r="115" ht="12.0" customHeight="1">
      <c r="C115" s="392"/>
    </row>
    <row r="116" ht="12.0" customHeight="1">
      <c r="C116" s="392"/>
    </row>
    <row r="117" ht="12.0" customHeight="1">
      <c r="C117" s="392"/>
    </row>
    <row r="118" ht="12.0" customHeight="1">
      <c r="C118" s="392"/>
    </row>
    <row r="119" ht="12.0" customHeight="1">
      <c r="C119" s="392"/>
    </row>
    <row r="120" ht="12.0" customHeight="1">
      <c r="C120" s="392"/>
    </row>
    <row r="121" ht="12.0" customHeight="1">
      <c r="C121" s="392"/>
    </row>
    <row r="122" ht="12.0" customHeight="1">
      <c r="C122" s="392"/>
    </row>
    <row r="123" ht="12.0" customHeight="1">
      <c r="C123" s="392"/>
    </row>
    <row r="124" ht="12.0" customHeight="1">
      <c r="C124" s="392"/>
    </row>
    <row r="125" ht="12.0" customHeight="1">
      <c r="C125" s="392"/>
    </row>
    <row r="126" ht="12.0" customHeight="1">
      <c r="C126" s="392"/>
    </row>
    <row r="127" ht="12.0" customHeight="1">
      <c r="C127" s="392"/>
    </row>
    <row r="128" ht="12.0" customHeight="1">
      <c r="C128" s="392"/>
    </row>
    <row r="129" ht="12.0" customHeight="1">
      <c r="C129" s="392"/>
    </row>
    <row r="130" ht="12.0" customHeight="1">
      <c r="C130" s="392"/>
    </row>
    <row r="131" ht="12.0" customHeight="1">
      <c r="C131" s="392"/>
    </row>
    <row r="132" ht="12.0" customHeight="1">
      <c r="C132" s="392"/>
    </row>
    <row r="133" ht="12.0" customHeight="1">
      <c r="C133" s="392"/>
    </row>
    <row r="134" ht="12.0" customHeight="1">
      <c r="C134" s="392"/>
    </row>
    <row r="135" ht="12.0" customHeight="1">
      <c r="C135" s="392"/>
    </row>
    <row r="136" ht="12.0" customHeight="1">
      <c r="C136" s="392"/>
    </row>
    <row r="137" ht="12.0" customHeight="1">
      <c r="C137" s="392"/>
    </row>
    <row r="138" ht="12.0" customHeight="1">
      <c r="C138" s="392"/>
    </row>
    <row r="139" ht="12.0" customHeight="1">
      <c r="C139" s="392"/>
    </row>
    <row r="140" ht="12.0" customHeight="1">
      <c r="C140" s="392"/>
    </row>
    <row r="141" ht="12.0" customHeight="1">
      <c r="C141" s="392"/>
    </row>
    <row r="142" ht="12.0" customHeight="1">
      <c r="C142" s="392"/>
    </row>
    <row r="143" ht="12.0" customHeight="1">
      <c r="C143" s="392"/>
    </row>
    <row r="144" ht="12.0" customHeight="1">
      <c r="C144" s="392"/>
    </row>
    <row r="145" ht="12.0" customHeight="1">
      <c r="C145" s="392"/>
    </row>
    <row r="146" ht="12.0" customHeight="1">
      <c r="C146" s="392"/>
    </row>
    <row r="147" ht="12.0" customHeight="1">
      <c r="C147" s="392"/>
    </row>
    <row r="148" ht="12.0" customHeight="1">
      <c r="C148" s="392"/>
    </row>
    <row r="149" ht="12.0" customHeight="1">
      <c r="C149" s="392"/>
    </row>
    <row r="150" ht="12.0" customHeight="1">
      <c r="C150" s="392"/>
    </row>
    <row r="151" ht="12.0" customHeight="1">
      <c r="C151" s="392"/>
    </row>
    <row r="152" ht="12.0" customHeight="1">
      <c r="C152" s="392"/>
    </row>
    <row r="153" ht="12.0" customHeight="1">
      <c r="C153" s="392"/>
    </row>
    <row r="154" ht="12.0" customHeight="1">
      <c r="C154" s="392"/>
    </row>
    <row r="155" ht="12.0" customHeight="1">
      <c r="C155" s="392"/>
    </row>
    <row r="156" ht="12.0" customHeight="1">
      <c r="C156" s="392"/>
    </row>
    <row r="157" ht="12.0" customHeight="1">
      <c r="C157" s="392"/>
    </row>
    <row r="158" ht="12.0" customHeight="1">
      <c r="C158" s="392"/>
    </row>
    <row r="159" ht="12.0" customHeight="1">
      <c r="C159" s="392"/>
    </row>
    <row r="160" ht="12.0" customHeight="1">
      <c r="C160" s="392"/>
    </row>
    <row r="161" ht="12.0" customHeight="1">
      <c r="C161" s="392"/>
    </row>
    <row r="162" ht="12.0" customHeight="1">
      <c r="C162" s="392"/>
    </row>
    <row r="163" ht="12.0" customHeight="1">
      <c r="C163" s="392"/>
    </row>
    <row r="164" ht="12.0" customHeight="1">
      <c r="C164" s="392"/>
    </row>
    <row r="165" ht="12.0" customHeight="1">
      <c r="C165" s="392"/>
    </row>
    <row r="166" ht="12.0" customHeight="1">
      <c r="C166" s="392"/>
    </row>
    <row r="167" ht="12.0" customHeight="1">
      <c r="C167" s="392"/>
    </row>
    <row r="168" ht="12.0" customHeight="1">
      <c r="C168" s="392"/>
    </row>
    <row r="169" ht="12.0" customHeight="1">
      <c r="C169" s="392"/>
    </row>
    <row r="170" ht="12.0" customHeight="1">
      <c r="C170" s="392"/>
    </row>
    <row r="171" ht="12.0" customHeight="1">
      <c r="C171" s="392"/>
    </row>
    <row r="172" ht="12.0" customHeight="1">
      <c r="C172" s="392"/>
    </row>
    <row r="173" ht="12.0" customHeight="1">
      <c r="C173" s="392"/>
    </row>
    <row r="174" ht="12.0" customHeight="1">
      <c r="C174" s="392"/>
    </row>
    <row r="175" ht="12.0" customHeight="1">
      <c r="C175" s="392"/>
    </row>
    <row r="176" ht="12.0" customHeight="1">
      <c r="C176" s="392"/>
    </row>
    <row r="177" ht="12.0" customHeight="1">
      <c r="C177" s="392"/>
    </row>
    <row r="178" ht="12.0" customHeight="1">
      <c r="C178" s="392"/>
    </row>
    <row r="179" ht="12.0" customHeight="1">
      <c r="C179" s="392"/>
    </row>
    <row r="180" ht="12.0" customHeight="1">
      <c r="C180" s="392"/>
    </row>
    <row r="181" ht="12.0" customHeight="1">
      <c r="C181" s="392"/>
    </row>
    <row r="182" ht="12.0" customHeight="1">
      <c r="C182" s="392"/>
    </row>
    <row r="183" ht="12.0" customHeight="1">
      <c r="C183" s="392"/>
    </row>
    <row r="184" ht="12.0" customHeight="1">
      <c r="C184" s="392"/>
    </row>
    <row r="185" ht="12.0" customHeight="1">
      <c r="C185" s="392"/>
    </row>
    <row r="186" ht="12.0" customHeight="1">
      <c r="C186" s="392"/>
    </row>
    <row r="187" ht="12.0" customHeight="1">
      <c r="C187" s="392"/>
    </row>
    <row r="188" ht="12.0" customHeight="1">
      <c r="C188" s="392"/>
    </row>
    <row r="189" ht="12.0" customHeight="1">
      <c r="C189" s="392"/>
    </row>
    <row r="190" ht="12.0" customHeight="1">
      <c r="C190" s="392"/>
    </row>
    <row r="191" ht="12.0" customHeight="1">
      <c r="C191" s="392"/>
    </row>
    <row r="192" ht="12.0" customHeight="1">
      <c r="C192" s="392"/>
    </row>
    <row r="193" ht="12.0" customHeight="1">
      <c r="C193" s="392"/>
    </row>
    <row r="194" ht="12.0" customHeight="1">
      <c r="C194" s="392"/>
    </row>
    <row r="195" ht="12.0" customHeight="1">
      <c r="C195" s="392"/>
    </row>
    <row r="196" ht="12.0" customHeight="1">
      <c r="C196" s="392"/>
    </row>
    <row r="197" ht="12.0" customHeight="1">
      <c r="C197" s="392"/>
    </row>
    <row r="198" ht="12.0" customHeight="1">
      <c r="C198" s="392"/>
    </row>
    <row r="199" ht="12.0" customHeight="1">
      <c r="C199" s="392"/>
    </row>
    <row r="200" ht="12.0" customHeight="1">
      <c r="C200" s="392"/>
    </row>
    <row r="201" ht="12.0" customHeight="1">
      <c r="C201" s="392"/>
    </row>
    <row r="202" ht="12.0" customHeight="1">
      <c r="C202" s="392"/>
    </row>
    <row r="203" ht="12.0" customHeight="1">
      <c r="C203" s="392"/>
    </row>
    <row r="204" ht="12.0" customHeight="1">
      <c r="C204" s="392"/>
    </row>
    <row r="205" ht="12.0" customHeight="1">
      <c r="C205" s="392"/>
    </row>
    <row r="206" ht="12.0" customHeight="1">
      <c r="C206" s="392"/>
    </row>
    <row r="207" ht="12.0" customHeight="1">
      <c r="C207" s="392"/>
    </row>
    <row r="208" ht="12.0" customHeight="1">
      <c r="C208" s="392"/>
    </row>
    <row r="209" ht="12.0" customHeight="1">
      <c r="C209" s="392"/>
    </row>
    <row r="210" ht="12.0" customHeight="1">
      <c r="C210" s="392"/>
    </row>
    <row r="211" ht="12.0" customHeight="1">
      <c r="C211" s="392"/>
    </row>
    <row r="212" ht="12.0" customHeight="1">
      <c r="C212" s="392"/>
    </row>
    <row r="213" ht="12.0" customHeight="1">
      <c r="C213" s="392"/>
    </row>
    <row r="214" ht="12.0" customHeight="1">
      <c r="C214" s="392"/>
    </row>
    <row r="215" ht="12.0" customHeight="1">
      <c r="C215" s="392"/>
    </row>
    <row r="216" ht="12.0" customHeight="1">
      <c r="C216" s="392"/>
    </row>
    <row r="217" ht="12.0" customHeight="1">
      <c r="C217" s="392"/>
    </row>
    <row r="218" ht="12.0" customHeight="1">
      <c r="C218" s="392"/>
    </row>
    <row r="219" ht="12.0" customHeight="1">
      <c r="C219" s="392"/>
    </row>
    <row r="220" ht="12.0" customHeight="1">
      <c r="C220" s="392"/>
    </row>
    <row r="221" ht="12.0" customHeight="1">
      <c r="C221" s="392"/>
    </row>
    <row r="222" ht="12.0" customHeight="1">
      <c r="C222" s="392"/>
    </row>
    <row r="223" ht="12.0" customHeight="1">
      <c r="C223" s="392"/>
    </row>
    <row r="224" ht="12.0" customHeight="1">
      <c r="C224" s="392"/>
    </row>
    <row r="225" ht="12.0" customHeight="1">
      <c r="C225" s="392"/>
    </row>
    <row r="226" ht="12.0" customHeight="1">
      <c r="C226" s="392"/>
    </row>
    <row r="227" ht="12.0" customHeight="1">
      <c r="C227" s="392"/>
    </row>
    <row r="228" ht="12.0" customHeight="1">
      <c r="C228" s="392"/>
    </row>
    <row r="229" ht="12.0" customHeight="1">
      <c r="C229" s="392"/>
    </row>
    <row r="230" ht="12.0" customHeight="1">
      <c r="C230" s="392"/>
    </row>
    <row r="231" ht="12.0" customHeight="1">
      <c r="C231" s="392"/>
    </row>
    <row r="232" ht="12.0" customHeight="1">
      <c r="C232" s="392"/>
    </row>
    <row r="233" ht="12.0" customHeight="1">
      <c r="C233" s="392"/>
    </row>
    <row r="234" ht="12.0" customHeight="1">
      <c r="C234" s="392"/>
    </row>
    <row r="235" ht="12.0" customHeight="1">
      <c r="C235" s="392"/>
    </row>
    <row r="236" ht="12.0" customHeight="1">
      <c r="C236" s="392"/>
    </row>
    <row r="237" ht="12.0" customHeight="1">
      <c r="C237" s="392"/>
    </row>
    <row r="238" ht="12.0" customHeight="1">
      <c r="C238" s="392"/>
    </row>
    <row r="239" ht="12.0" customHeight="1">
      <c r="C239" s="392"/>
    </row>
    <row r="240" ht="12.0" customHeight="1">
      <c r="C240" s="392"/>
    </row>
    <row r="241" ht="12.0" customHeight="1">
      <c r="C241" s="392"/>
    </row>
    <row r="242" ht="12.0" customHeight="1">
      <c r="C242" s="392"/>
    </row>
    <row r="243" ht="12.0" customHeight="1">
      <c r="C243" s="392"/>
    </row>
    <row r="244" ht="12.0" customHeight="1">
      <c r="C244" s="392"/>
    </row>
    <row r="245" ht="12.0" customHeight="1">
      <c r="C245" s="392"/>
    </row>
    <row r="246" ht="12.0" customHeight="1">
      <c r="C246" s="392"/>
    </row>
    <row r="247" ht="12.0" customHeight="1">
      <c r="C247" s="392"/>
    </row>
    <row r="248" ht="12.0" customHeight="1">
      <c r="C248" s="392"/>
    </row>
    <row r="249" ht="12.0" customHeight="1">
      <c r="C249" s="392"/>
    </row>
    <row r="250" ht="12.0" customHeight="1">
      <c r="C250" s="392"/>
    </row>
    <row r="251" ht="12.0" customHeight="1">
      <c r="C251" s="392"/>
    </row>
    <row r="252" ht="12.0" customHeight="1">
      <c r="C252" s="392"/>
    </row>
    <row r="253" ht="12.0" customHeight="1">
      <c r="C253" s="392"/>
    </row>
    <row r="254" ht="12.0" customHeight="1">
      <c r="C254" s="392"/>
    </row>
    <row r="255" ht="12.0" customHeight="1">
      <c r="C255" s="392"/>
    </row>
    <row r="256" ht="12.0" customHeight="1">
      <c r="C256" s="392"/>
    </row>
    <row r="257" ht="12.0" customHeight="1">
      <c r="C257" s="392"/>
    </row>
    <row r="258" ht="12.0" customHeight="1">
      <c r="C258" s="392"/>
    </row>
    <row r="259" ht="12.0" customHeight="1">
      <c r="C259" s="392"/>
    </row>
    <row r="260" ht="12.0" customHeight="1">
      <c r="C260" s="392"/>
    </row>
    <row r="261" ht="12.0" customHeight="1">
      <c r="C261" s="392"/>
    </row>
    <row r="262" ht="12.0" customHeight="1">
      <c r="C262" s="392"/>
    </row>
    <row r="263" ht="12.0" customHeight="1">
      <c r="C263" s="392"/>
    </row>
    <row r="264" ht="12.0" customHeight="1">
      <c r="C264" s="392"/>
    </row>
    <row r="265" ht="12.0" customHeight="1">
      <c r="C265" s="392"/>
    </row>
    <row r="266" ht="12.0" customHeight="1">
      <c r="C266" s="392"/>
    </row>
    <row r="267" ht="12.0" customHeight="1">
      <c r="C267" s="392"/>
    </row>
    <row r="268" ht="12.0" customHeight="1">
      <c r="C268" s="392"/>
    </row>
    <row r="269" ht="12.0" customHeight="1">
      <c r="C269" s="392"/>
    </row>
    <row r="270" ht="12.0" customHeight="1">
      <c r="C270" s="392"/>
    </row>
    <row r="271" ht="12.0" customHeight="1">
      <c r="C271" s="392"/>
    </row>
    <row r="272" ht="12.0" customHeight="1">
      <c r="C272" s="392"/>
    </row>
    <row r="273" ht="12.0" customHeight="1">
      <c r="C273" s="392"/>
    </row>
    <row r="274" ht="12.0" customHeight="1">
      <c r="C274" s="392"/>
    </row>
    <row r="275" ht="12.0" customHeight="1">
      <c r="C275" s="392"/>
    </row>
    <row r="276" ht="12.0" customHeight="1">
      <c r="C276" s="392"/>
    </row>
    <row r="277" ht="12.0" customHeight="1">
      <c r="C277" s="392"/>
    </row>
    <row r="278" ht="12.0" customHeight="1">
      <c r="C278" s="392"/>
    </row>
    <row r="279" ht="12.0" customHeight="1">
      <c r="C279" s="392"/>
    </row>
    <row r="280" ht="12.0" customHeight="1">
      <c r="C280" s="392"/>
    </row>
    <row r="281" ht="12.0" customHeight="1">
      <c r="C281" s="392"/>
    </row>
    <row r="282" ht="12.0" customHeight="1">
      <c r="C282" s="392"/>
    </row>
    <row r="283" ht="12.0" customHeight="1">
      <c r="C283" s="392"/>
    </row>
    <row r="284" ht="12.0" customHeight="1">
      <c r="C284" s="392"/>
    </row>
    <row r="285" ht="12.0" customHeight="1">
      <c r="C285" s="392"/>
    </row>
    <row r="286" ht="12.0" customHeight="1">
      <c r="C286" s="392"/>
    </row>
    <row r="287" ht="12.0" customHeight="1">
      <c r="C287" s="392"/>
    </row>
    <row r="288" ht="12.0" customHeight="1">
      <c r="C288" s="392"/>
    </row>
    <row r="289" ht="12.0" customHeight="1">
      <c r="C289" s="392"/>
    </row>
    <row r="290" ht="12.0" customHeight="1">
      <c r="C290" s="392"/>
    </row>
    <row r="291" ht="12.0" customHeight="1">
      <c r="C291" s="392"/>
    </row>
    <row r="292" ht="12.0" customHeight="1">
      <c r="C292" s="392"/>
    </row>
    <row r="293" ht="12.0" customHeight="1">
      <c r="C293" s="392"/>
    </row>
    <row r="294" ht="12.0" customHeight="1">
      <c r="C294" s="392"/>
    </row>
    <row r="295" ht="12.0" customHeight="1">
      <c r="C295" s="392"/>
    </row>
    <row r="296" ht="12.0" customHeight="1">
      <c r="C296" s="392"/>
    </row>
    <row r="297" ht="12.0" customHeight="1">
      <c r="C297" s="392"/>
    </row>
    <row r="298" ht="12.0" customHeight="1">
      <c r="C298" s="392"/>
    </row>
    <row r="299" ht="12.0" customHeight="1">
      <c r="C299" s="392"/>
    </row>
    <row r="300" ht="12.0" customHeight="1">
      <c r="C300" s="392"/>
    </row>
    <row r="301" ht="12.0" customHeight="1">
      <c r="C301" s="392"/>
    </row>
    <row r="302" ht="12.0" customHeight="1">
      <c r="C302" s="392"/>
    </row>
    <row r="303" ht="12.0" customHeight="1">
      <c r="C303" s="392"/>
    </row>
    <row r="304" ht="12.0" customHeight="1">
      <c r="C304" s="392"/>
    </row>
    <row r="305" ht="12.0" customHeight="1">
      <c r="C305" s="392"/>
    </row>
    <row r="306" ht="12.0" customHeight="1">
      <c r="C306" s="392"/>
    </row>
    <row r="307" ht="12.0" customHeight="1">
      <c r="C307" s="392"/>
    </row>
    <row r="308" ht="12.0" customHeight="1">
      <c r="C308" s="392"/>
    </row>
    <row r="309" ht="12.0" customHeight="1">
      <c r="C309" s="392"/>
    </row>
    <row r="310" ht="12.0" customHeight="1">
      <c r="C310" s="392"/>
    </row>
    <row r="311" ht="12.0" customHeight="1">
      <c r="C311" s="392"/>
    </row>
    <row r="312" ht="12.0" customHeight="1">
      <c r="C312" s="392"/>
    </row>
    <row r="313" ht="12.0" customHeight="1">
      <c r="C313" s="392"/>
    </row>
    <row r="314" ht="12.0" customHeight="1">
      <c r="C314" s="392"/>
    </row>
    <row r="315" ht="12.0" customHeight="1">
      <c r="C315" s="392"/>
    </row>
    <row r="316" ht="12.0" customHeight="1">
      <c r="C316" s="392"/>
    </row>
    <row r="317" ht="12.0" customHeight="1">
      <c r="C317" s="392"/>
    </row>
    <row r="318" ht="12.0" customHeight="1">
      <c r="C318" s="392"/>
    </row>
    <row r="319" ht="12.0" customHeight="1">
      <c r="C319" s="392"/>
    </row>
    <row r="320" ht="12.0" customHeight="1">
      <c r="C320" s="392"/>
    </row>
    <row r="321" ht="12.0" customHeight="1">
      <c r="C321" s="392"/>
    </row>
    <row r="322" ht="12.0" customHeight="1">
      <c r="C322" s="392"/>
    </row>
    <row r="323" ht="12.0" customHeight="1">
      <c r="C323" s="392"/>
    </row>
    <row r="324" ht="12.0" customHeight="1">
      <c r="C324" s="392"/>
    </row>
    <row r="325" ht="12.0" customHeight="1">
      <c r="C325" s="392"/>
    </row>
    <row r="326" ht="12.0" customHeight="1">
      <c r="C326" s="392"/>
    </row>
    <row r="327" ht="12.0" customHeight="1">
      <c r="C327" s="392"/>
    </row>
    <row r="328" ht="12.0" customHeight="1">
      <c r="C328" s="392"/>
    </row>
    <row r="329" ht="12.0" customHeight="1">
      <c r="C329" s="392"/>
    </row>
    <row r="330" ht="12.0" customHeight="1">
      <c r="C330" s="392"/>
    </row>
    <row r="331" ht="12.0" customHeight="1">
      <c r="C331" s="392"/>
    </row>
    <row r="332" ht="12.0" customHeight="1">
      <c r="C332" s="392"/>
    </row>
    <row r="333" ht="12.0" customHeight="1">
      <c r="C333" s="392"/>
    </row>
    <row r="334" ht="12.0" customHeight="1">
      <c r="C334" s="392"/>
    </row>
    <row r="335" ht="12.0" customHeight="1">
      <c r="C335" s="392"/>
    </row>
    <row r="336" ht="12.0" customHeight="1">
      <c r="C336" s="392"/>
    </row>
    <row r="337" ht="12.0" customHeight="1">
      <c r="C337" s="392"/>
    </row>
    <row r="338" ht="12.0" customHeight="1">
      <c r="C338" s="392"/>
    </row>
    <row r="339" ht="12.0" customHeight="1">
      <c r="C339" s="392"/>
    </row>
    <row r="340" ht="12.0" customHeight="1">
      <c r="C340" s="392"/>
    </row>
    <row r="341" ht="12.0" customHeight="1">
      <c r="C341" s="392"/>
    </row>
    <row r="342" ht="12.0" customHeight="1">
      <c r="C342" s="392"/>
    </row>
    <row r="343" ht="12.0" customHeight="1">
      <c r="C343" s="392"/>
    </row>
    <row r="344" ht="12.0" customHeight="1">
      <c r="C344" s="392"/>
    </row>
    <row r="345" ht="12.0" customHeight="1">
      <c r="C345" s="392"/>
    </row>
    <row r="346" ht="12.0" customHeight="1">
      <c r="C346" s="392"/>
    </row>
    <row r="347" ht="12.0" customHeight="1">
      <c r="C347" s="392"/>
    </row>
    <row r="348" ht="12.0" customHeight="1">
      <c r="C348" s="392"/>
    </row>
    <row r="349" ht="12.0" customHeight="1">
      <c r="C349" s="392"/>
    </row>
    <row r="350" ht="12.0" customHeight="1">
      <c r="C350" s="392"/>
    </row>
    <row r="351" ht="12.0" customHeight="1">
      <c r="C351" s="392"/>
    </row>
    <row r="352" ht="12.0" customHeight="1">
      <c r="C352" s="392"/>
    </row>
    <row r="353" ht="12.0" customHeight="1">
      <c r="C353" s="392"/>
    </row>
    <row r="354" ht="12.0" customHeight="1">
      <c r="C354" s="392"/>
    </row>
    <row r="355" ht="12.0" customHeight="1">
      <c r="C355" s="392"/>
    </row>
    <row r="356" ht="12.0" customHeight="1">
      <c r="C356" s="392"/>
    </row>
    <row r="357" ht="12.0" customHeight="1">
      <c r="C357" s="392"/>
    </row>
    <row r="358" ht="12.0" customHeight="1">
      <c r="C358" s="392"/>
    </row>
    <row r="359" ht="12.0" customHeight="1">
      <c r="C359" s="392"/>
    </row>
    <row r="360" ht="12.0" customHeight="1">
      <c r="C360" s="392"/>
    </row>
    <row r="361" ht="12.0" customHeight="1">
      <c r="C361" s="392"/>
    </row>
    <row r="362" ht="12.0" customHeight="1">
      <c r="C362" s="392"/>
    </row>
    <row r="363" ht="12.0" customHeight="1">
      <c r="C363" s="392"/>
    </row>
    <row r="364" ht="12.0" customHeight="1">
      <c r="C364" s="392"/>
    </row>
    <row r="365" ht="12.0" customHeight="1">
      <c r="C365" s="392"/>
    </row>
    <row r="366" ht="12.0" customHeight="1">
      <c r="C366" s="392"/>
    </row>
    <row r="367" ht="12.0" customHeight="1">
      <c r="C367" s="392"/>
    </row>
    <row r="368" ht="12.0" customHeight="1">
      <c r="C368" s="392"/>
    </row>
    <row r="369" ht="12.0" customHeight="1">
      <c r="C369" s="392"/>
    </row>
    <row r="370" ht="12.0" customHeight="1">
      <c r="C370" s="392"/>
    </row>
    <row r="371" ht="12.0" customHeight="1">
      <c r="C371" s="392"/>
    </row>
    <row r="372" ht="12.0" customHeight="1">
      <c r="C372" s="392"/>
    </row>
    <row r="373" ht="12.0" customHeight="1">
      <c r="C373" s="392"/>
    </row>
    <row r="374" ht="12.0" customHeight="1">
      <c r="C374" s="392"/>
    </row>
    <row r="375" ht="12.0" customHeight="1">
      <c r="C375" s="392"/>
    </row>
    <row r="376" ht="12.0" customHeight="1">
      <c r="C376" s="392"/>
    </row>
    <row r="377" ht="12.0" customHeight="1">
      <c r="C377" s="392"/>
    </row>
    <row r="378" ht="12.0" customHeight="1">
      <c r="C378" s="392"/>
    </row>
    <row r="379" ht="12.0" customHeight="1">
      <c r="C379" s="392"/>
    </row>
    <row r="380" ht="12.0" customHeight="1">
      <c r="C380" s="392"/>
    </row>
    <row r="381" ht="12.0" customHeight="1">
      <c r="C381" s="392"/>
    </row>
    <row r="382" ht="12.0" customHeight="1">
      <c r="C382" s="392"/>
    </row>
    <row r="383" ht="12.0" customHeight="1">
      <c r="C383" s="392"/>
    </row>
    <row r="384" ht="12.0" customHeight="1">
      <c r="C384" s="392"/>
    </row>
    <row r="385" ht="12.0" customHeight="1">
      <c r="C385" s="392"/>
    </row>
    <row r="386" ht="12.0" customHeight="1">
      <c r="C386" s="392"/>
    </row>
    <row r="387" ht="12.0" customHeight="1">
      <c r="C387" s="392"/>
    </row>
    <row r="388" ht="12.0" customHeight="1">
      <c r="C388" s="392"/>
    </row>
    <row r="389" ht="12.0" customHeight="1">
      <c r="C389" s="392"/>
    </row>
    <row r="390" ht="12.0" customHeight="1">
      <c r="C390" s="392"/>
    </row>
    <row r="391" ht="12.0" customHeight="1">
      <c r="C391" s="392"/>
    </row>
    <row r="392" ht="12.0" customHeight="1">
      <c r="C392" s="392"/>
    </row>
    <row r="393" ht="12.0" customHeight="1">
      <c r="C393" s="392"/>
    </row>
    <row r="394" ht="12.0" customHeight="1">
      <c r="C394" s="392"/>
    </row>
    <row r="395" ht="12.0" customHeight="1">
      <c r="C395" s="392"/>
    </row>
    <row r="396" ht="12.0" customHeight="1">
      <c r="C396" s="392"/>
    </row>
    <row r="397" ht="12.0" customHeight="1">
      <c r="C397" s="392"/>
    </row>
    <row r="398" ht="12.0" customHeight="1">
      <c r="C398" s="392"/>
    </row>
    <row r="399" ht="12.0" customHeight="1">
      <c r="C399" s="392"/>
    </row>
    <row r="400" ht="12.0" customHeight="1">
      <c r="C400" s="392"/>
    </row>
    <row r="401" ht="12.0" customHeight="1">
      <c r="C401" s="392"/>
    </row>
    <row r="402" ht="12.0" customHeight="1">
      <c r="C402" s="392"/>
    </row>
    <row r="403" ht="12.0" customHeight="1">
      <c r="C403" s="392"/>
    </row>
    <row r="404" ht="12.0" customHeight="1">
      <c r="C404" s="392"/>
    </row>
    <row r="405" ht="12.0" customHeight="1">
      <c r="C405" s="392"/>
    </row>
    <row r="406" ht="12.0" customHeight="1">
      <c r="C406" s="392"/>
    </row>
    <row r="407" ht="12.0" customHeight="1">
      <c r="C407" s="392"/>
    </row>
    <row r="408" ht="12.0" customHeight="1">
      <c r="C408" s="392"/>
    </row>
    <row r="409" ht="12.0" customHeight="1">
      <c r="C409" s="392"/>
    </row>
    <row r="410" ht="12.0" customHeight="1">
      <c r="C410" s="392"/>
    </row>
    <row r="411" ht="12.0" customHeight="1">
      <c r="C411" s="392"/>
    </row>
    <row r="412" ht="12.0" customHeight="1">
      <c r="C412" s="392"/>
    </row>
    <row r="413" ht="12.0" customHeight="1">
      <c r="C413" s="392"/>
    </row>
    <row r="414" ht="12.0" customHeight="1">
      <c r="C414" s="392"/>
    </row>
    <row r="415" ht="12.0" customHeight="1">
      <c r="C415" s="392"/>
    </row>
    <row r="416" ht="12.0" customHeight="1">
      <c r="C416" s="392"/>
    </row>
    <row r="417" ht="12.0" customHeight="1">
      <c r="C417" s="392"/>
    </row>
    <row r="418" ht="12.0" customHeight="1">
      <c r="C418" s="392"/>
    </row>
    <row r="419" ht="12.0" customHeight="1">
      <c r="C419" s="392"/>
    </row>
    <row r="420" ht="12.0" customHeight="1">
      <c r="C420" s="392"/>
    </row>
    <row r="421" ht="12.0" customHeight="1">
      <c r="C421" s="392"/>
    </row>
    <row r="422" ht="12.0" customHeight="1">
      <c r="C422" s="392"/>
    </row>
    <row r="423" ht="12.0" customHeight="1">
      <c r="C423" s="392"/>
    </row>
    <row r="424" ht="12.0" customHeight="1">
      <c r="C424" s="392"/>
    </row>
    <row r="425" ht="12.0" customHeight="1">
      <c r="C425" s="392"/>
    </row>
    <row r="426" ht="12.0" customHeight="1">
      <c r="C426" s="392"/>
    </row>
    <row r="427" ht="12.0" customHeight="1">
      <c r="C427" s="392"/>
    </row>
    <row r="428" ht="12.0" customHeight="1">
      <c r="C428" s="392"/>
    </row>
    <row r="429" ht="12.0" customHeight="1">
      <c r="C429" s="392"/>
    </row>
    <row r="430" ht="12.0" customHeight="1">
      <c r="C430" s="392"/>
    </row>
    <row r="431" ht="12.0" customHeight="1">
      <c r="C431" s="392"/>
    </row>
    <row r="432" ht="12.0" customHeight="1">
      <c r="C432" s="392"/>
    </row>
    <row r="433" ht="12.0" customHeight="1">
      <c r="C433" s="392"/>
    </row>
    <row r="434" ht="12.0" customHeight="1">
      <c r="C434" s="392"/>
    </row>
    <row r="435" ht="12.0" customHeight="1">
      <c r="C435" s="392"/>
    </row>
    <row r="436" ht="12.0" customHeight="1">
      <c r="C436" s="392"/>
    </row>
    <row r="437" ht="12.0" customHeight="1">
      <c r="C437" s="392"/>
    </row>
    <row r="438" ht="12.0" customHeight="1">
      <c r="C438" s="392"/>
    </row>
    <row r="439" ht="12.0" customHeight="1">
      <c r="C439" s="392"/>
    </row>
    <row r="440" ht="12.0" customHeight="1">
      <c r="C440" s="392"/>
    </row>
    <row r="441" ht="12.0" customHeight="1">
      <c r="C441" s="392"/>
    </row>
    <row r="442" ht="12.0" customHeight="1">
      <c r="C442" s="392"/>
    </row>
    <row r="443" ht="12.0" customHeight="1">
      <c r="C443" s="392"/>
    </row>
    <row r="444" ht="12.0" customHeight="1">
      <c r="C444" s="392"/>
    </row>
    <row r="445" ht="12.0" customHeight="1">
      <c r="C445" s="392"/>
    </row>
    <row r="446" ht="12.0" customHeight="1">
      <c r="C446" s="392"/>
    </row>
    <row r="447" ht="12.0" customHeight="1">
      <c r="C447" s="392"/>
    </row>
    <row r="448" ht="12.0" customHeight="1">
      <c r="C448" s="392"/>
    </row>
    <row r="449" ht="12.0" customHeight="1">
      <c r="C449" s="392"/>
    </row>
    <row r="450" ht="12.0" customHeight="1">
      <c r="C450" s="392"/>
    </row>
    <row r="451" ht="12.0" customHeight="1">
      <c r="C451" s="392"/>
    </row>
    <row r="452" ht="12.0" customHeight="1">
      <c r="C452" s="392"/>
    </row>
    <row r="453" ht="12.0" customHeight="1">
      <c r="C453" s="392"/>
    </row>
    <row r="454" ht="12.0" customHeight="1">
      <c r="C454" s="392"/>
    </row>
    <row r="455" ht="12.0" customHeight="1">
      <c r="C455" s="392"/>
    </row>
    <row r="456" ht="12.0" customHeight="1">
      <c r="C456" s="392"/>
    </row>
    <row r="457" ht="12.0" customHeight="1">
      <c r="C457" s="392"/>
    </row>
    <row r="458" ht="12.0" customHeight="1">
      <c r="C458" s="392"/>
    </row>
    <row r="459" ht="12.0" customHeight="1">
      <c r="C459" s="392"/>
    </row>
    <row r="460" ht="12.0" customHeight="1">
      <c r="C460" s="392"/>
    </row>
    <row r="461" ht="12.0" customHeight="1">
      <c r="C461" s="392"/>
    </row>
    <row r="462" ht="12.0" customHeight="1">
      <c r="C462" s="392"/>
    </row>
    <row r="463" ht="12.0" customHeight="1">
      <c r="C463" s="392"/>
    </row>
    <row r="464" ht="12.0" customHeight="1">
      <c r="C464" s="392"/>
    </row>
    <row r="465" ht="12.0" customHeight="1">
      <c r="C465" s="392"/>
    </row>
    <row r="466" ht="12.0" customHeight="1">
      <c r="C466" s="392"/>
    </row>
    <row r="467" ht="12.0" customHeight="1">
      <c r="C467" s="392"/>
    </row>
    <row r="468" ht="12.0" customHeight="1">
      <c r="C468" s="392"/>
    </row>
    <row r="469" ht="12.0" customHeight="1">
      <c r="C469" s="392"/>
    </row>
    <row r="470" ht="12.0" customHeight="1">
      <c r="C470" s="392"/>
    </row>
    <row r="471" ht="12.0" customHeight="1">
      <c r="C471" s="392"/>
    </row>
    <row r="472" ht="12.0" customHeight="1">
      <c r="C472" s="392"/>
    </row>
    <row r="473" ht="12.0" customHeight="1">
      <c r="C473" s="392"/>
    </row>
    <row r="474" ht="12.0" customHeight="1">
      <c r="C474" s="392"/>
    </row>
    <row r="475" ht="12.0" customHeight="1">
      <c r="C475" s="392"/>
    </row>
    <row r="476" ht="12.0" customHeight="1">
      <c r="C476" s="392"/>
    </row>
    <row r="477" ht="12.0" customHeight="1">
      <c r="C477" s="392"/>
    </row>
    <row r="478" ht="12.0" customHeight="1">
      <c r="C478" s="392"/>
    </row>
    <row r="479" ht="12.0" customHeight="1">
      <c r="C479" s="392"/>
    </row>
    <row r="480" ht="12.0" customHeight="1">
      <c r="C480" s="392"/>
    </row>
    <row r="481" ht="12.0" customHeight="1">
      <c r="C481" s="392"/>
    </row>
    <row r="482" ht="12.0" customHeight="1">
      <c r="C482" s="392"/>
    </row>
    <row r="483" ht="12.0" customHeight="1">
      <c r="C483" s="392"/>
    </row>
    <row r="484" ht="12.0" customHeight="1">
      <c r="C484" s="392"/>
    </row>
    <row r="485" ht="12.0" customHeight="1">
      <c r="C485" s="392"/>
    </row>
    <row r="486" ht="12.0" customHeight="1">
      <c r="C486" s="392"/>
    </row>
    <row r="487" ht="12.0" customHeight="1">
      <c r="C487" s="392"/>
    </row>
    <row r="488" ht="12.0" customHeight="1">
      <c r="C488" s="392"/>
    </row>
    <row r="489" ht="12.0" customHeight="1">
      <c r="C489" s="392"/>
    </row>
    <row r="490" ht="12.0" customHeight="1">
      <c r="C490" s="392"/>
    </row>
    <row r="491" ht="12.0" customHeight="1">
      <c r="C491" s="392"/>
    </row>
    <row r="492" ht="12.0" customHeight="1">
      <c r="C492" s="392"/>
    </row>
    <row r="493" ht="12.0" customHeight="1">
      <c r="C493" s="392"/>
    </row>
    <row r="494" ht="12.0" customHeight="1">
      <c r="C494" s="392"/>
    </row>
    <row r="495" ht="12.0" customHeight="1">
      <c r="C495" s="392"/>
    </row>
    <row r="496" ht="12.0" customHeight="1">
      <c r="C496" s="392"/>
    </row>
    <row r="497" ht="12.0" customHeight="1">
      <c r="C497" s="392"/>
    </row>
    <row r="498" ht="12.0" customHeight="1">
      <c r="C498" s="392"/>
    </row>
    <row r="499" ht="12.0" customHeight="1">
      <c r="C499" s="392"/>
    </row>
    <row r="500" ht="12.0" customHeight="1">
      <c r="C500" s="392"/>
    </row>
    <row r="501" ht="12.0" customHeight="1">
      <c r="C501" s="392"/>
    </row>
    <row r="502" ht="12.0" customHeight="1">
      <c r="C502" s="392"/>
    </row>
    <row r="503" ht="12.0" customHeight="1">
      <c r="C503" s="392"/>
    </row>
    <row r="504" ht="12.0" customHeight="1">
      <c r="C504" s="392"/>
    </row>
    <row r="505" ht="12.0" customHeight="1">
      <c r="C505" s="392"/>
    </row>
    <row r="506" ht="12.0" customHeight="1">
      <c r="C506" s="392"/>
    </row>
    <row r="507" ht="12.0" customHeight="1">
      <c r="C507" s="392"/>
    </row>
    <row r="508" ht="12.0" customHeight="1">
      <c r="C508" s="392"/>
    </row>
    <row r="509" ht="12.0" customHeight="1">
      <c r="C509" s="392"/>
    </row>
    <row r="510" ht="12.0" customHeight="1">
      <c r="C510" s="392"/>
    </row>
    <row r="511" ht="12.0" customHeight="1">
      <c r="C511" s="392"/>
    </row>
    <row r="512" ht="12.0" customHeight="1">
      <c r="C512" s="392"/>
    </row>
    <row r="513" ht="12.0" customHeight="1">
      <c r="C513" s="392"/>
    </row>
    <row r="514" ht="12.0" customHeight="1">
      <c r="C514" s="392"/>
    </row>
    <row r="515" ht="12.0" customHeight="1">
      <c r="C515" s="392"/>
    </row>
    <row r="516" ht="12.0" customHeight="1">
      <c r="C516" s="392"/>
    </row>
    <row r="517" ht="12.0" customHeight="1">
      <c r="C517" s="392"/>
    </row>
    <row r="518" ht="12.0" customHeight="1">
      <c r="C518" s="392"/>
    </row>
    <row r="519" ht="12.0" customHeight="1">
      <c r="C519" s="392"/>
    </row>
    <row r="520" ht="12.0" customHeight="1">
      <c r="C520" s="392"/>
    </row>
    <row r="521" ht="12.0" customHeight="1">
      <c r="C521" s="392"/>
    </row>
    <row r="522" ht="12.0" customHeight="1">
      <c r="C522" s="392"/>
    </row>
    <row r="523" ht="12.0" customHeight="1">
      <c r="C523" s="392"/>
    </row>
    <row r="524" ht="12.0" customHeight="1">
      <c r="C524" s="392"/>
    </row>
    <row r="525" ht="12.0" customHeight="1">
      <c r="C525" s="392"/>
    </row>
    <row r="526" ht="12.0" customHeight="1">
      <c r="C526" s="392"/>
    </row>
    <row r="527" ht="12.0" customHeight="1">
      <c r="C527" s="392"/>
    </row>
    <row r="528" ht="12.0" customHeight="1">
      <c r="C528" s="392"/>
    </row>
    <row r="529" ht="12.0" customHeight="1">
      <c r="C529" s="392"/>
    </row>
    <row r="530" ht="12.0" customHeight="1">
      <c r="C530" s="392"/>
    </row>
    <row r="531" ht="12.0" customHeight="1">
      <c r="C531" s="392"/>
    </row>
    <row r="532" ht="12.0" customHeight="1">
      <c r="C532" s="392"/>
    </row>
    <row r="533" ht="12.0" customHeight="1">
      <c r="C533" s="392"/>
    </row>
    <row r="534" ht="12.0" customHeight="1">
      <c r="C534" s="392"/>
    </row>
    <row r="535" ht="12.0" customHeight="1">
      <c r="C535" s="392"/>
    </row>
    <row r="536" ht="12.0" customHeight="1">
      <c r="C536" s="392"/>
    </row>
    <row r="537" ht="12.0" customHeight="1">
      <c r="C537" s="392"/>
    </row>
    <row r="538" ht="12.0" customHeight="1">
      <c r="C538" s="392"/>
    </row>
    <row r="539" ht="12.0" customHeight="1">
      <c r="C539" s="392"/>
    </row>
    <row r="540" ht="12.0" customHeight="1">
      <c r="C540" s="392"/>
    </row>
    <row r="541" ht="12.0" customHeight="1">
      <c r="C541" s="392"/>
    </row>
    <row r="542" ht="12.0" customHeight="1">
      <c r="C542" s="392"/>
    </row>
    <row r="543" ht="12.0" customHeight="1">
      <c r="C543" s="392"/>
    </row>
    <row r="544" ht="12.0" customHeight="1">
      <c r="C544" s="392"/>
    </row>
    <row r="545" ht="12.0" customHeight="1">
      <c r="C545" s="392"/>
    </row>
    <row r="546" ht="12.0" customHeight="1">
      <c r="C546" s="392"/>
    </row>
    <row r="547" ht="12.0" customHeight="1">
      <c r="C547" s="392"/>
    </row>
    <row r="548" ht="12.0" customHeight="1">
      <c r="C548" s="392"/>
    </row>
    <row r="549" ht="12.0" customHeight="1">
      <c r="C549" s="392"/>
    </row>
    <row r="550" ht="12.0" customHeight="1">
      <c r="C550" s="392"/>
    </row>
    <row r="551" ht="12.0" customHeight="1">
      <c r="C551" s="392"/>
    </row>
    <row r="552" ht="12.0" customHeight="1">
      <c r="C552" s="392"/>
    </row>
    <row r="553" ht="12.0" customHeight="1">
      <c r="C553" s="392"/>
    </row>
    <row r="554" ht="12.0" customHeight="1">
      <c r="C554" s="392"/>
    </row>
    <row r="555" ht="12.0" customHeight="1">
      <c r="C555" s="392"/>
    </row>
    <row r="556" ht="12.0" customHeight="1">
      <c r="C556" s="392"/>
    </row>
    <row r="557" ht="12.0" customHeight="1">
      <c r="C557" s="392"/>
    </row>
    <row r="558" ht="12.0" customHeight="1">
      <c r="C558" s="392"/>
    </row>
    <row r="559" ht="12.0" customHeight="1">
      <c r="C559" s="392"/>
    </row>
    <row r="560" ht="12.0" customHeight="1">
      <c r="C560" s="392"/>
    </row>
    <row r="561" ht="12.0" customHeight="1">
      <c r="C561" s="392"/>
    </row>
    <row r="562" ht="12.0" customHeight="1">
      <c r="C562" s="392"/>
    </row>
    <row r="563" ht="12.0" customHeight="1">
      <c r="C563" s="392"/>
    </row>
    <row r="564" ht="12.0" customHeight="1">
      <c r="C564" s="392"/>
    </row>
    <row r="565" ht="12.0" customHeight="1">
      <c r="C565" s="392"/>
    </row>
    <row r="566" ht="12.0" customHeight="1">
      <c r="C566" s="392"/>
    </row>
    <row r="567" ht="12.0" customHeight="1">
      <c r="C567" s="392"/>
    </row>
    <row r="568" ht="12.0" customHeight="1">
      <c r="C568" s="392"/>
    </row>
    <row r="569" ht="12.0" customHeight="1">
      <c r="C569" s="392"/>
    </row>
    <row r="570" ht="12.0" customHeight="1">
      <c r="C570" s="392"/>
    </row>
    <row r="571" ht="12.0" customHeight="1">
      <c r="C571" s="392"/>
    </row>
    <row r="572" ht="12.0" customHeight="1">
      <c r="C572" s="392"/>
    </row>
    <row r="573" ht="12.0" customHeight="1">
      <c r="C573" s="392"/>
    </row>
    <row r="574" ht="12.0" customHeight="1">
      <c r="C574" s="392"/>
    </row>
    <row r="575" ht="12.0" customHeight="1">
      <c r="C575" s="392"/>
    </row>
    <row r="576" ht="12.0" customHeight="1">
      <c r="C576" s="392"/>
    </row>
    <row r="577" ht="12.0" customHeight="1">
      <c r="C577" s="392"/>
    </row>
    <row r="578" ht="12.0" customHeight="1">
      <c r="C578" s="392"/>
    </row>
    <row r="579" ht="12.0" customHeight="1">
      <c r="C579" s="392"/>
    </row>
    <row r="580" ht="12.0" customHeight="1">
      <c r="C580" s="392"/>
    </row>
    <row r="581" ht="12.0" customHeight="1">
      <c r="C581" s="392"/>
    </row>
    <row r="582" ht="12.0" customHeight="1">
      <c r="C582" s="392"/>
    </row>
    <row r="583" ht="12.0" customHeight="1">
      <c r="C583" s="392"/>
    </row>
    <row r="584" ht="12.0" customHeight="1">
      <c r="C584" s="392"/>
    </row>
    <row r="585" ht="12.0" customHeight="1">
      <c r="C585" s="392"/>
    </row>
    <row r="586" ht="12.0" customHeight="1">
      <c r="C586" s="392"/>
    </row>
    <row r="587" ht="12.0" customHeight="1">
      <c r="C587" s="392"/>
    </row>
    <row r="588" ht="12.0" customHeight="1">
      <c r="C588" s="392"/>
    </row>
    <row r="589" ht="12.0" customHeight="1">
      <c r="C589" s="392"/>
    </row>
    <row r="590" ht="12.0" customHeight="1">
      <c r="C590" s="392"/>
    </row>
    <row r="591" ht="12.0" customHeight="1">
      <c r="C591" s="392"/>
    </row>
    <row r="592" ht="12.0" customHeight="1">
      <c r="C592" s="392"/>
    </row>
    <row r="593" ht="12.0" customHeight="1">
      <c r="C593" s="392"/>
    </row>
    <row r="594" ht="12.0" customHeight="1">
      <c r="C594" s="392"/>
    </row>
    <row r="595" ht="12.0" customHeight="1">
      <c r="C595" s="392"/>
    </row>
    <row r="596" ht="12.0" customHeight="1">
      <c r="C596" s="392"/>
    </row>
    <row r="597" ht="12.0" customHeight="1">
      <c r="C597" s="392"/>
    </row>
    <row r="598" ht="12.0" customHeight="1">
      <c r="C598" s="392"/>
    </row>
    <row r="599" ht="12.0" customHeight="1">
      <c r="C599" s="392"/>
    </row>
    <row r="600" ht="12.0" customHeight="1">
      <c r="C600" s="392"/>
    </row>
    <row r="601" ht="12.0" customHeight="1">
      <c r="C601" s="392"/>
    </row>
    <row r="602" ht="12.0" customHeight="1">
      <c r="C602" s="392"/>
    </row>
    <row r="603" ht="12.0" customHeight="1">
      <c r="C603" s="392"/>
    </row>
    <row r="604" ht="12.0" customHeight="1">
      <c r="C604" s="392"/>
    </row>
    <row r="605" ht="12.0" customHeight="1">
      <c r="C605" s="392"/>
    </row>
    <row r="606" ht="12.0" customHeight="1">
      <c r="C606" s="392"/>
    </row>
    <row r="607" ht="12.0" customHeight="1">
      <c r="C607" s="392"/>
    </row>
    <row r="608" ht="12.0" customHeight="1">
      <c r="C608" s="392"/>
    </row>
    <row r="609" ht="12.0" customHeight="1">
      <c r="C609" s="392"/>
    </row>
    <row r="610" ht="12.0" customHeight="1">
      <c r="C610" s="392"/>
    </row>
    <row r="611" ht="12.0" customHeight="1">
      <c r="C611" s="392"/>
    </row>
    <row r="612" ht="12.0" customHeight="1">
      <c r="C612" s="392"/>
    </row>
    <row r="613" ht="12.0" customHeight="1">
      <c r="C613" s="392"/>
    </row>
    <row r="614" ht="12.0" customHeight="1">
      <c r="C614" s="392"/>
    </row>
    <row r="615" ht="12.0" customHeight="1">
      <c r="C615" s="392"/>
    </row>
    <row r="616" ht="12.0" customHeight="1">
      <c r="C616" s="392"/>
    </row>
    <row r="617" ht="12.0" customHeight="1">
      <c r="C617" s="392"/>
    </row>
    <row r="618" ht="12.0" customHeight="1">
      <c r="C618" s="392"/>
    </row>
    <row r="619" ht="12.0" customHeight="1">
      <c r="C619" s="392"/>
    </row>
    <row r="620" ht="12.0" customHeight="1">
      <c r="C620" s="392"/>
    </row>
    <row r="621" ht="12.0" customHeight="1">
      <c r="C621" s="392"/>
    </row>
    <row r="622" ht="12.0" customHeight="1">
      <c r="C622" s="392"/>
    </row>
    <row r="623" ht="12.0" customHeight="1">
      <c r="C623" s="392"/>
    </row>
    <row r="624" ht="12.0" customHeight="1">
      <c r="C624" s="392"/>
    </row>
    <row r="625" ht="12.0" customHeight="1">
      <c r="C625" s="392"/>
    </row>
    <row r="626" ht="12.0" customHeight="1">
      <c r="C626" s="392"/>
    </row>
    <row r="627" ht="12.0" customHeight="1">
      <c r="C627" s="392"/>
    </row>
    <row r="628" ht="12.0" customHeight="1">
      <c r="C628" s="392"/>
    </row>
    <row r="629" ht="12.0" customHeight="1">
      <c r="C629" s="392"/>
    </row>
    <row r="630" ht="12.0" customHeight="1">
      <c r="C630" s="392"/>
    </row>
    <row r="631" ht="12.0" customHeight="1">
      <c r="C631" s="392"/>
    </row>
    <row r="632" ht="12.0" customHeight="1">
      <c r="C632" s="392"/>
    </row>
    <row r="633" ht="12.0" customHeight="1">
      <c r="C633" s="392"/>
    </row>
    <row r="634" ht="12.0" customHeight="1">
      <c r="C634" s="392"/>
    </row>
    <row r="635" ht="12.0" customHeight="1">
      <c r="C635" s="392"/>
    </row>
    <row r="636" ht="12.0" customHeight="1">
      <c r="C636" s="392"/>
    </row>
    <row r="637" ht="12.0" customHeight="1">
      <c r="C637" s="392"/>
    </row>
    <row r="638" ht="12.0" customHeight="1">
      <c r="C638" s="392"/>
    </row>
    <row r="639" ht="12.0" customHeight="1">
      <c r="C639" s="392"/>
    </row>
    <row r="640" ht="12.0" customHeight="1">
      <c r="C640" s="392"/>
    </row>
    <row r="641" ht="12.0" customHeight="1">
      <c r="C641" s="392"/>
    </row>
    <row r="642" ht="12.0" customHeight="1">
      <c r="C642" s="392"/>
    </row>
    <row r="643" ht="12.0" customHeight="1">
      <c r="C643" s="392"/>
    </row>
    <row r="644" ht="12.0" customHeight="1">
      <c r="C644" s="392"/>
    </row>
    <row r="645" ht="12.0" customHeight="1">
      <c r="C645" s="392"/>
    </row>
    <row r="646" ht="12.0" customHeight="1">
      <c r="C646" s="392"/>
    </row>
    <row r="647" ht="12.0" customHeight="1">
      <c r="C647" s="392"/>
    </row>
    <row r="648" ht="12.0" customHeight="1">
      <c r="C648" s="392"/>
    </row>
    <row r="649" ht="12.0" customHeight="1">
      <c r="C649" s="392"/>
    </row>
    <row r="650" ht="12.0" customHeight="1">
      <c r="C650" s="392"/>
    </row>
    <row r="651" ht="12.0" customHeight="1">
      <c r="C651" s="392"/>
    </row>
    <row r="652" ht="12.0" customHeight="1">
      <c r="C652" s="392"/>
    </row>
    <row r="653" ht="12.0" customHeight="1">
      <c r="C653" s="392"/>
    </row>
    <row r="654" ht="12.0" customHeight="1">
      <c r="C654" s="392"/>
    </row>
    <row r="655" ht="12.0" customHeight="1">
      <c r="C655" s="392"/>
    </row>
    <row r="656" ht="12.0" customHeight="1">
      <c r="C656" s="392"/>
    </row>
    <row r="657" ht="12.0" customHeight="1">
      <c r="C657" s="392"/>
    </row>
    <row r="658" ht="12.0" customHeight="1">
      <c r="C658" s="392"/>
    </row>
    <row r="659" ht="12.0" customHeight="1">
      <c r="C659" s="392"/>
    </row>
    <row r="660" ht="12.0" customHeight="1">
      <c r="C660" s="392"/>
    </row>
    <row r="661" ht="12.0" customHeight="1">
      <c r="C661" s="392"/>
    </row>
    <row r="662" ht="12.0" customHeight="1">
      <c r="C662" s="392"/>
    </row>
    <row r="663" ht="12.0" customHeight="1">
      <c r="C663" s="392"/>
    </row>
    <row r="664" ht="12.0" customHeight="1">
      <c r="C664" s="392"/>
    </row>
    <row r="665" ht="12.0" customHeight="1">
      <c r="C665" s="392"/>
    </row>
    <row r="666" ht="12.0" customHeight="1">
      <c r="C666" s="392"/>
    </row>
    <row r="667" ht="12.0" customHeight="1">
      <c r="C667" s="392"/>
    </row>
    <row r="668" ht="12.0" customHeight="1">
      <c r="C668" s="392"/>
    </row>
    <row r="669" ht="12.0" customHeight="1">
      <c r="C669" s="392"/>
    </row>
    <row r="670" ht="12.0" customHeight="1">
      <c r="C670" s="392"/>
    </row>
    <row r="671" ht="12.0" customHeight="1">
      <c r="C671" s="392"/>
    </row>
    <row r="672" ht="12.0" customHeight="1">
      <c r="C672" s="392"/>
    </row>
    <row r="673" ht="12.0" customHeight="1">
      <c r="C673" s="392"/>
    </row>
    <row r="674" ht="12.0" customHeight="1">
      <c r="C674" s="392"/>
    </row>
    <row r="675" ht="12.0" customHeight="1">
      <c r="C675" s="392"/>
    </row>
    <row r="676" ht="12.0" customHeight="1">
      <c r="C676" s="392"/>
    </row>
    <row r="677" ht="12.0" customHeight="1">
      <c r="C677" s="392"/>
    </row>
    <row r="678" ht="12.0" customHeight="1">
      <c r="C678" s="392"/>
    </row>
    <row r="679" ht="12.0" customHeight="1">
      <c r="C679" s="392"/>
    </row>
    <row r="680" ht="12.0" customHeight="1">
      <c r="C680" s="392"/>
    </row>
    <row r="681" ht="12.0" customHeight="1">
      <c r="C681" s="392"/>
    </row>
    <row r="682" ht="12.0" customHeight="1">
      <c r="C682" s="392"/>
    </row>
    <row r="683" ht="12.0" customHeight="1">
      <c r="C683" s="392"/>
    </row>
    <row r="684" ht="12.0" customHeight="1">
      <c r="C684" s="392"/>
    </row>
    <row r="685" ht="12.0" customHeight="1">
      <c r="C685" s="392"/>
    </row>
    <row r="686" ht="12.0" customHeight="1">
      <c r="C686" s="392"/>
    </row>
    <row r="687" ht="12.0" customHeight="1">
      <c r="C687" s="392"/>
    </row>
    <row r="688" ht="12.0" customHeight="1">
      <c r="C688" s="392"/>
    </row>
    <row r="689" ht="12.0" customHeight="1">
      <c r="C689" s="392"/>
    </row>
    <row r="690" ht="12.0" customHeight="1">
      <c r="C690" s="392"/>
    </row>
    <row r="691" ht="12.0" customHeight="1">
      <c r="C691" s="392"/>
    </row>
    <row r="692" ht="12.0" customHeight="1">
      <c r="C692" s="392"/>
    </row>
    <row r="693" ht="12.0" customHeight="1">
      <c r="C693" s="392"/>
    </row>
    <row r="694" ht="12.0" customHeight="1">
      <c r="C694" s="392"/>
    </row>
    <row r="695" ht="12.0" customHeight="1">
      <c r="C695" s="392"/>
    </row>
    <row r="696" ht="12.0" customHeight="1">
      <c r="C696" s="392"/>
    </row>
    <row r="697" ht="12.0" customHeight="1">
      <c r="C697" s="392"/>
    </row>
    <row r="698" ht="12.0" customHeight="1">
      <c r="C698" s="392"/>
    </row>
    <row r="699" ht="12.0" customHeight="1">
      <c r="C699" s="392"/>
    </row>
    <row r="700" ht="12.0" customHeight="1">
      <c r="C700" s="392"/>
    </row>
    <row r="701" ht="12.0" customHeight="1">
      <c r="C701" s="392"/>
    </row>
    <row r="702" ht="12.0" customHeight="1">
      <c r="C702" s="392"/>
    </row>
    <row r="703" ht="12.0" customHeight="1">
      <c r="C703" s="392"/>
    </row>
    <row r="704" ht="12.0" customHeight="1">
      <c r="C704" s="392"/>
    </row>
    <row r="705" ht="12.0" customHeight="1">
      <c r="C705" s="392"/>
    </row>
    <row r="706" ht="12.0" customHeight="1">
      <c r="C706" s="392"/>
    </row>
    <row r="707" ht="12.0" customHeight="1">
      <c r="C707" s="392"/>
    </row>
    <row r="708" ht="12.0" customHeight="1">
      <c r="C708" s="392"/>
    </row>
    <row r="709" ht="12.0" customHeight="1">
      <c r="C709" s="392"/>
    </row>
    <row r="710" ht="12.0" customHeight="1">
      <c r="C710" s="392"/>
    </row>
    <row r="711" ht="12.0" customHeight="1">
      <c r="C711" s="392"/>
    </row>
    <row r="712" ht="12.0" customHeight="1">
      <c r="C712" s="392"/>
    </row>
    <row r="713" ht="12.0" customHeight="1">
      <c r="C713" s="392"/>
    </row>
    <row r="714" ht="12.0" customHeight="1">
      <c r="C714" s="392"/>
    </row>
    <row r="715" ht="12.0" customHeight="1">
      <c r="C715" s="392"/>
    </row>
    <row r="716" ht="12.0" customHeight="1">
      <c r="C716" s="392"/>
    </row>
    <row r="717" ht="12.0" customHeight="1">
      <c r="C717" s="392"/>
    </row>
    <row r="718" ht="12.0" customHeight="1">
      <c r="C718" s="392"/>
    </row>
    <row r="719" ht="12.0" customHeight="1">
      <c r="C719" s="392"/>
    </row>
    <row r="720" ht="12.0" customHeight="1">
      <c r="C720" s="392"/>
    </row>
    <row r="721" ht="12.0" customHeight="1">
      <c r="C721" s="392"/>
    </row>
    <row r="722" ht="12.0" customHeight="1">
      <c r="C722" s="392"/>
    </row>
    <row r="723" ht="12.0" customHeight="1">
      <c r="C723" s="392"/>
    </row>
    <row r="724" ht="12.0" customHeight="1">
      <c r="C724" s="392"/>
    </row>
    <row r="725" ht="12.0" customHeight="1">
      <c r="C725" s="392"/>
    </row>
    <row r="726" ht="12.0" customHeight="1">
      <c r="C726" s="392"/>
    </row>
    <row r="727" ht="12.0" customHeight="1">
      <c r="C727" s="392"/>
    </row>
    <row r="728" ht="12.0" customHeight="1">
      <c r="C728" s="392"/>
    </row>
    <row r="729" ht="12.0" customHeight="1">
      <c r="C729" s="392"/>
    </row>
    <row r="730" ht="12.0" customHeight="1">
      <c r="C730" s="392"/>
    </row>
    <row r="731" ht="12.0" customHeight="1">
      <c r="C731" s="392"/>
    </row>
    <row r="732" ht="12.0" customHeight="1">
      <c r="C732" s="392"/>
    </row>
    <row r="733" ht="12.0" customHeight="1">
      <c r="C733" s="392"/>
    </row>
    <row r="734" ht="12.0" customHeight="1">
      <c r="C734" s="392"/>
    </row>
    <row r="735" ht="12.0" customHeight="1">
      <c r="C735" s="392"/>
    </row>
    <row r="736" ht="12.0" customHeight="1">
      <c r="C736" s="392"/>
    </row>
    <row r="737" ht="12.0" customHeight="1">
      <c r="C737" s="392"/>
    </row>
    <row r="738" ht="12.0" customHeight="1">
      <c r="C738" s="392"/>
    </row>
    <row r="739" ht="12.0" customHeight="1">
      <c r="C739" s="392"/>
    </row>
    <row r="740" ht="12.0" customHeight="1">
      <c r="C740" s="392"/>
    </row>
    <row r="741" ht="12.0" customHeight="1">
      <c r="C741" s="392"/>
    </row>
    <row r="742" ht="12.0" customHeight="1">
      <c r="C742" s="392"/>
    </row>
    <row r="743" ht="12.0" customHeight="1">
      <c r="C743" s="392"/>
    </row>
    <row r="744" ht="12.0" customHeight="1">
      <c r="C744" s="392"/>
    </row>
    <row r="745" ht="12.0" customHeight="1">
      <c r="C745" s="392"/>
    </row>
    <row r="746" ht="12.0" customHeight="1">
      <c r="C746" s="392"/>
    </row>
    <row r="747" ht="12.0" customHeight="1">
      <c r="C747" s="392"/>
    </row>
    <row r="748" ht="12.0" customHeight="1">
      <c r="C748" s="392"/>
    </row>
    <row r="749" ht="12.0" customHeight="1">
      <c r="C749" s="392"/>
    </row>
    <row r="750" ht="12.0" customHeight="1">
      <c r="C750" s="392"/>
    </row>
    <row r="751" ht="12.0" customHeight="1">
      <c r="C751" s="392"/>
    </row>
    <row r="752" ht="12.0" customHeight="1">
      <c r="C752" s="392"/>
    </row>
    <row r="753" ht="12.0" customHeight="1">
      <c r="C753" s="392"/>
    </row>
    <row r="754" ht="12.0" customHeight="1">
      <c r="C754" s="392"/>
    </row>
    <row r="755" ht="12.0" customHeight="1">
      <c r="C755" s="392"/>
    </row>
    <row r="756" ht="12.0" customHeight="1">
      <c r="C756" s="392"/>
    </row>
    <row r="757" ht="12.0" customHeight="1">
      <c r="C757" s="392"/>
    </row>
    <row r="758" ht="12.0" customHeight="1">
      <c r="C758" s="392"/>
    </row>
    <row r="759" ht="12.0" customHeight="1">
      <c r="C759" s="392"/>
    </row>
    <row r="760" ht="12.0" customHeight="1">
      <c r="C760" s="392"/>
    </row>
    <row r="761" ht="12.0" customHeight="1">
      <c r="C761" s="392"/>
    </row>
    <row r="762" ht="12.0" customHeight="1">
      <c r="C762" s="392"/>
    </row>
    <row r="763" ht="12.0" customHeight="1">
      <c r="C763" s="392"/>
    </row>
    <row r="764" ht="12.0" customHeight="1">
      <c r="C764" s="392"/>
    </row>
    <row r="765" ht="12.0" customHeight="1">
      <c r="C765" s="392"/>
    </row>
    <row r="766" ht="12.0" customHeight="1">
      <c r="C766" s="392"/>
    </row>
    <row r="767" ht="12.0" customHeight="1">
      <c r="C767" s="392"/>
    </row>
    <row r="768" ht="12.0" customHeight="1">
      <c r="C768" s="392"/>
    </row>
    <row r="769" ht="12.0" customHeight="1">
      <c r="C769" s="392"/>
    </row>
    <row r="770" ht="12.0" customHeight="1">
      <c r="C770" s="392"/>
    </row>
    <row r="771" ht="12.0" customHeight="1">
      <c r="C771" s="392"/>
    </row>
    <row r="772" ht="12.0" customHeight="1">
      <c r="C772" s="392"/>
    </row>
    <row r="773" ht="12.0" customHeight="1">
      <c r="C773" s="392"/>
    </row>
    <row r="774" ht="12.0" customHeight="1">
      <c r="C774" s="392"/>
    </row>
    <row r="775" ht="12.0" customHeight="1">
      <c r="C775" s="392"/>
    </row>
    <row r="776" ht="12.0" customHeight="1">
      <c r="C776" s="392"/>
    </row>
    <row r="777" ht="12.0" customHeight="1">
      <c r="C777" s="392"/>
    </row>
    <row r="778" ht="12.0" customHeight="1">
      <c r="C778" s="392"/>
    </row>
    <row r="779" ht="12.0" customHeight="1">
      <c r="C779" s="392"/>
    </row>
    <row r="780" ht="12.0" customHeight="1">
      <c r="C780" s="392"/>
    </row>
    <row r="781" ht="12.0" customHeight="1">
      <c r="C781" s="392"/>
    </row>
    <row r="782" ht="12.0" customHeight="1">
      <c r="C782" s="392"/>
    </row>
    <row r="783" ht="12.0" customHeight="1">
      <c r="C783" s="392"/>
    </row>
    <row r="784" ht="12.0" customHeight="1">
      <c r="C784" s="392"/>
    </row>
    <row r="785" ht="12.0" customHeight="1">
      <c r="C785" s="392"/>
    </row>
    <row r="786" ht="12.0" customHeight="1">
      <c r="C786" s="392"/>
    </row>
    <row r="787" ht="12.0" customHeight="1">
      <c r="C787" s="392"/>
    </row>
    <row r="788" ht="12.0" customHeight="1">
      <c r="C788" s="392"/>
    </row>
    <row r="789" ht="12.0" customHeight="1">
      <c r="C789" s="392"/>
    </row>
    <row r="790" ht="12.0" customHeight="1">
      <c r="C790" s="392"/>
    </row>
    <row r="791" ht="12.0" customHeight="1">
      <c r="C791" s="392"/>
    </row>
    <row r="792" ht="12.0" customHeight="1">
      <c r="C792" s="392"/>
    </row>
    <row r="793" ht="12.0" customHeight="1">
      <c r="C793" s="392"/>
    </row>
    <row r="794" ht="12.0" customHeight="1">
      <c r="C794" s="392"/>
    </row>
    <row r="795" ht="12.0" customHeight="1">
      <c r="C795" s="392"/>
    </row>
    <row r="796" ht="12.0" customHeight="1">
      <c r="C796" s="392"/>
    </row>
    <row r="797" ht="12.0" customHeight="1">
      <c r="C797" s="392"/>
    </row>
    <row r="798" ht="12.0" customHeight="1">
      <c r="C798" s="392"/>
    </row>
    <row r="799" ht="12.0" customHeight="1">
      <c r="C799" s="392"/>
    </row>
    <row r="800" ht="12.0" customHeight="1">
      <c r="C800" s="392"/>
    </row>
    <row r="801" ht="12.0" customHeight="1">
      <c r="C801" s="392"/>
    </row>
    <row r="802" ht="12.0" customHeight="1">
      <c r="C802" s="392"/>
    </row>
    <row r="803" ht="12.0" customHeight="1">
      <c r="C803" s="392"/>
    </row>
    <row r="804" ht="12.0" customHeight="1">
      <c r="C804" s="392"/>
    </row>
    <row r="805" ht="12.0" customHeight="1">
      <c r="C805" s="392"/>
    </row>
    <row r="806" ht="12.0" customHeight="1">
      <c r="C806" s="392"/>
    </row>
    <row r="807" ht="12.0" customHeight="1">
      <c r="C807" s="392"/>
    </row>
    <row r="808" ht="12.0" customHeight="1">
      <c r="C808" s="392"/>
    </row>
    <row r="809" ht="12.0" customHeight="1">
      <c r="C809" s="392"/>
    </row>
    <row r="810" ht="12.0" customHeight="1">
      <c r="C810" s="392"/>
    </row>
    <row r="811" ht="12.0" customHeight="1">
      <c r="C811" s="392"/>
    </row>
    <row r="812" ht="12.0" customHeight="1">
      <c r="C812" s="392"/>
    </row>
    <row r="813" ht="12.0" customHeight="1">
      <c r="C813" s="392"/>
    </row>
    <row r="814" ht="12.0" customHeight="1">
      <c r="C814" s="392"/>
    </row>
    <row r="815" ht="12.0" customHeight="1">
      <c r="C815" s="392"/>
    </row>
    <row r="816" ht="12.0" customHeight="1">
      <c r="C816" s="392"/>
    </row>
    <row r="817" ht="12.0" customHeight="1">
      <c r="C817" s="392"/>
    </row>
    <row r="818" ht="12.0" customHeight="1">
      <c r="C818" s="392"/>
    </row>
    <row r="819" ht="12.0" customHeight="1">
      <c r="C819" s="392"/>
    </row>
    <row r="820" ht="12.0" customHeight="1">
      <c r="C820" s="392"/>
    </row>
    <row r="821" ht="12.0" customHeight="1">
      <c r="C821" s="392"/>
    </row>
    <row r="822" ht="12.0" customHeight="1">
      <c r="C822" s="392"/>
    </row>
    <row r="823" ht="12.0" customHeight="1">
      <c r="C823" s="392"/>
    </row>
    <row r="824" ht="12.0" customHeight="1">
      <c r="C824" s="392"/>
    </row>
    <row r="825" ht="12.0" customHeight="1">
      <c r="C825" s="392"/>
    </row>
    <row r="826" ht="12.0" customHeight="1">
      <c r="C826" s="392"/>
    </row>
    <row r="827" ht="12.0" customHeight="1">
      <c r="C827" s="392"/>
    </row>
    <row r="828" ht="12.0" customHeight="1">
      <c r="C828" s="392"/>
    </row>
    <row r="829" ht="12.0" customHeight="1">
      <c r="C829" s="392"/>
    </row>
    <row r="830" ht="12.0" customHeight="1">
      <c r="C830" s="392"/>
    </row>
    <row r="831" ht="12.0" customHeight="1">
      <c r="C831" s="392"/>
    </row>
    <row r="832" ht="12.0" customHeight="1">
      <c r="C832" s="392"/>
    </row>
    <row r="833" ht="12.0" customHeight="1">
      <c r="C833" s="392"/>
    </row>
    <row r="834" ht="12.0" customHeight="1">
      <c r="C834" s="392"/>
    </row>
    <row r="835" ht="12.0" customHeight="1">
      <c r="C835" s="392"/>
    </row>
    <row r="836" ht="12.0" customHeight="1">
      <c r="C836" s="392"/>
    </row>
    <row r="837" ht="12.0" customHeight="1">
      <c r="C837" s="392"/>
    </row>
    <row r="838" ht="12.0" customHeight="1">
      <c r="C838" s="392"/>
    </row>
    <row r="839" ht="12.0" customHeight="1">
      <c r="C839" s="392"/>
    </row>
    <row r="840" ht="12.0" customHeight="1">
      <c r="C840" s="392"/>
    </row>
    <row r="841" ht="12.0" customHeight="1">
      <c r="C841" s="392"/>
    </row>
    <row r="842" ht="12.0" customHeight="1">
      <c r="C842" s="392"/>
    </row>
    <row r="843" ht="12.0" customHeight="1">
      <c r="C843" s="392"/>
    </row>
    <row r="844" ht="12.0" customHeight="1">
      <c r="C844" s="392"/>
    </row>
    <row r="845" ht="12.0" customHeight="1">
      <c r="C845" s="392"/>
    </row>
    <row r="846" ht="12.0" customHeight="1">
      <c r="C846" s="392"/>
    </row>
    <row r="847" ht="12.0" customHeight="1">
      <c r="C847" s="392"/>
    </row>
    <row r="848" ht="12.0" customHeight="1">
      <c r="C848" s="392"/>
    </row>
    <row r="849" ht="12.0" customHeight="1">
      <c r="C849" s="392"/>
    </row>
    <row r="850" ht="12.0" customHeight="1">
      <c r="C850" s="392"/>
    </row>
    <row r="851" ht="12.0" customHeight="1">
      <c r="C851" s="392"/>
    </row>
    <row r="852" ht="12.0" customHeight="1">
      <c r="C852" s="392"/>
    </row>
    <row r="853" ht="12.0" customHeight="1">
      <c r="C853" s="392"/>
    </row>
    <row r="854" ht="12.0" customHeight="1">
      <c r="C854" s="392"/>
    </row>
    <row r="855" ht="12.0" customHeight="1">
      <c r="C855" s="392"/>
    </row>
    <row r="856" ht="12.0" customHeight="1">
      <c r="C856" s="392"/>
    </row>
    <row r="857" ht="12.0" customHeight="1">
      <c r="C857" s="392"/>
    </row>
    <row r="858" ht="12.0" customHeight="1">
      <c r="C858" s="392"/>
    </row>
    <row r="859" ht="12.0" customHeight="1">
      <c r="C859" s="392"/>
    </row>
    <row r="860" ht="12.0" customHeight="1">
      <c r="C860" s="392"/>
    </row>
    <row r="861" ht="12.0" customHeight="1">
      <c r="C861" s="392"/>
    </row>
    <row r="862" ht="12.0" customHeight="1">
      <c r="C862" s="392"/>
    </row>
    <row r="863" ht="12.0" customHeight="1">
      <c r="C863" s="392"/>
    </row>
    <row r="864" ht="12.0" customHeight="1">
      <c r="C864" s="392"/>
    </row>
    <row r="865" ht="12.0" customHeight="1">
      <c r="C865" s="392"/>
    </row>
    <row r="866" ht="12.0" customHeight="1">
      <c r="C866" s="392"/>
    </row>
    <row r="867" ht="12.0" customHeight="1">
      <c r="C867" s="392"/>
    </row>
    <row r="868" ht="12.0" customHeight="1">
      <c r="C868" s="392"/>
    </row>
    <row r="869" ht="12.0" customHeight="1">
      <c r="C869" s="392"/>
    </row>
    <row r="870" ht="12.0" customHeight="1">
      <c r="C870" s="392"/>
    </row>
    <row r="871" ht="12.0" customHeight="1">
      <c r="C871" s="392"/>
    </row>
    <row r="872" ht="12.0" customHeight="1">
      <c r="C872" s="392"/>
    </row>
    <row r="873" ht="12.0" customHeight="1">
      <c r="C873" s="392"/>
    </row>
    <row r="874" ht="12.0" customHeight="1">
      <c r="C874" s="392"/>
    </row>
    <row r="875" ht="12.0" customHeight="1">
      <c r="C875" s="392"/>
    </row>
    <row r="876" ht="12.0" customHeight="1">
      <c r="C876" s="392"/>
    </row>
    <row r="877" ht="12.0" customHeight="1">
      <c r="C877" s="392"/>
    </row>
    <row r="878" ht="12.0" customHeight="1">
      <c r="C878" s="392"/>
    </row>
    <row r="879" ht="12.0" customHeight="1">
      <c r="C879" s="392"/>
    </row>
    <row r="880" ht="12.0" customHeight="1">
      <c r="C880" s="392"/>
    </row>
    <row r="881" ht="12.0" customHeight="1">
      <c r="C881" s="392"/>
    </row>
    <row r="882" ht="12.0" customHeight="1">
      <c r="C882" s="392"/>
    </row>
    <row r="883" ht="12.0" customHeight="1">
      <c r="C883" s="392"/>
    </row>
    <row r="884" ht="12.0" customHeight="1">
      <c r="C884" s="392"/>
    </row>
    <row r="885" ht="12.0" customHeight="1">
      <c r="C885" s="392"/>
    </row>
    <row r="886" ht="12.0" customHeight="1">
      <c r="C886" s="392"/>
    </row>
    <row r="887" ht="12.0" customHeight="1">
      <c r="C887" s="392"/>
    </row>
    <row r="888" ht="12.0" customHeight="1">
      <c r="C888" s="392"/>
    </row>
    <row r="889" ht="12.0" customHeight="1">
      <c r="C889" s="392"/>
    </row>
    <row r="890" ht="12.0" customHeight="1">
      <c r="C890" s="392"/>
    </row>
    <row r="891" ht="12.0" customHeight="1">
      <c r="C891" s="392"/>
    </row>
    <row r="892" ht="12.0" customHeight="1">
      <c r="C892" s="392"/>
    </row>
    <row r="893" ht="12.0" customHeight="1">
      <c r="C893" s="392"/>
    </row>
    <row r="894" ht="12.0" customHeight="1">
      <c r="C894" s="392"/>
    </row>
    <row r="895" ht="12.0" customHeight="1">
      <c r="C895" s="392"/>
    </row>
    <row r="896" ht="12.0" customHeight="1">
      <c r="C896" s="392"/>
    </row>
    <row r="897" ht="12.0" customHeight="1">
      <c r="C897" s="392"/>
    </row>
    <row r="898" ht="12.0" customHeight="1">
      <c r="C898" s="392"/>
    </row>
    <row r="899" ht="12.0" customHeight="1">
      <c r="C899" s="392"/>
    </row>
    <row r="900" ht="12.0" customHeight="1">
      <c r="C900" s="392"/>
    </row>
    <row r="901" ht="12.0" customHeight="1">
      <c r="C901" s="392"/>
    </row>
    <row r="902" ht="12.0" customHeight="1">
      <c r="C902" s="392"/>
    </row>
    <row r="903" ht="12.0" customHeight="1">
      <c r="C903" s="392"/>
    </row>
    <row r="904" ht="12.0" customHeight="1">
      <c r="C904" s="392"/>
    </row>
    <row r="905" ht="12.0" customHeight="1">
      <c r="C905" s="392"/>
    </row>
    <row r="906" ht="12.0" customHeight="1">
      <c r="C906" s="392"/>
    </row>
    <row r="907" ht="12.0" customHeight="1">
      <c r="C907" s="392"/>
    </row>
    <row r="908" ht="12.0" customHeight="1">
      <c r="C908" s="392"/>
    </row>
    <row r="909" ht="12.0" customHeight="1">
      <c r="C909" s="392"/>
    </row>
    <row r="910" ht="12.0" customHeight="1">
      <c r="C910" s="392"/>
    </row>
    <row r="911" ht="12.0" customHeight="1">
      <c r="C911" s="392"/>
    </row>
    <row r="912" ht="12.0" customHeight="1">
      <c r="C912" s="392"/>
    </row>
    <row r="913" ht="12.0" customHeight="1">
      <c r="C913" s="392"/>
    </row>
    <row r="914" ht="12.0" customHeight="1">
      <c r="C914" s="392"/>
    </row>
    <row r="915" ht="12.0" customHeight="1">
      <c r="C915" s="392"/>
    </row>
    <row r="916" ht="12.0" customHeight="1">
      <c r="C916" s="392"/>
    </row>
    <row r="917" ht="12.0" customHeight="1">
      <c r="C917" s="392"/>
    </row>
    <row r="918" ht="12.0" customHeight="1">
      <c r="C918" s="392"/>
    </row>
    <row r="919" ht="12.0" customHeight="1">
      <c r="C919" s="392"/>
    </row>
    <row r="920" ht="12.0" customHeight="1">
      <c r="C920" s="392"/>
    </row>
    <row r="921" ht="12.0" customHeight="1">
      <c r="C921" s="392"/>
    </row>
    <row r="922" ht="12.0" customHeight="1">
      <c r="C922" s="392"/>
    </row>
    <row r="923" ht="12.0" customHeight="1">
      <c r="C923" s="392"/>
    </row>
    <row r="924" ht="12.0" customHeight="1">
      <c r="C924" s="392"/>
    </row>
    <row r="925" ht="12.0" customHeight="1">
      <c r="C925" s="392"/>
    </row>
    <row r="926" ht="12.0" customHeight="1">
      <c r="C926" s="392"/>
    </row>
    <row r="927" ht="12.0" customHeight="1">
      <c r="C927" s="392"/>
    </row>
    <row r="928" ht="12.0" customHeight="1">
      <c r="C928" s="392"/>
    </row>
    <row r="929" ht="12.0" customHeight="1">
      <c r="C929" s="392"/>
    </row>
    <row r="930" ht="12.0" customHeight="1">
      <c r="C930" s="392"/>
    </row>
    <row r="931" ht="12.0" customHeight="1">
      <c r="C931" s="392"/>
    </row>
    <row r="932" ht="12.0" customHeight="1">
      <c r="C932" s="392"/>
    </row>
    <row r="933" ht="12.0" customHeight="1">
      <c r="C933" s="392"/>
    </row>
    <row r="934" ht="12.0" customHeight="1">
      <c r="C934" s="392"/>
    </row>
    <row r="935" ht="12.0" customHeight="1">
      <c r="C935" s="392"/>
    </row>
    <row r="936" ht="12.0" customHeight="1">
      <c r="C936" s="392"/>
    </row>
    <row r="937" ht="12.0" customHeight="1">
      <c r="C937" s="392"/>
    </row>
    <row r="938" ht="12.0" customHeight="1">
      <c r="C938" s="392"/>
    </row>
    <row r="939" ht="12.0" customHeight="1">
      <c r="C939" s="392"/>
    </row>
    <row r="940" ht="12.0" customHeight="1">
      <c r="C940" s="392"/>
    </row>
    <row r="941" ht="12.0" customHeight="1">
      <c r="C941" s="392"/>
    </row>
    <row r="942" ht="12.0" customHeight="1">
      <c r="C942" s="392"/>
    </row>
    <row r="943" ht="12.0" customHeight="1">
      <c r="C943" s="392"/>
    </row>
    <row r="944" ht="12.0" customHeight="1">
      <c r="C944" s="392"/>
    </row>
    <row r="945" ht="12.0" customHeight="1">
      <c r="C945" s="392"/>
    </row>
    <row r="946" ht="12.0" customHeight="1">
      <c r="C946" s="392"/>
    </row>
    <row r="947" ht="12.0" customHeight="1">
      <c r="C947" s="392"/>
    </row>
    <row r="948" ht="12.0" customHeight="1">
      <c r="C948" s="392"/>
    </row>
    <row r="949" ht="12.0" customHeight="1">
      <c r="C949" s="392"/>
    </row>
    <row r="950" ht="12.0" customHeight="1">
      <c r="C950" s="392"/>
    </row>
    <row r="951" ht="12.0" customHeight="1">
      <c r="C951" s="392"/>
    </row>
    <row r="952" ht="12.0" customHeight="1">
      <c r="C952" s="392"/>
    </row>
    <row r="953" ht="12.0" customHeight="1">
      <c r="C953" s="392"/>
    </row>
    <row r="954" ht="12.0" customHeight="1">
      <c r="C954" s="392"/>
    </row>
    <row r="955" ht="12.0" customHeight="1">
      <c r="C955" s="392"/>
    </row>
    <row r="956" ht="12.0" customHeight="1">
      <c r="C956" s="392"/>
    </row>
    <row r="957" ht="12.0" customHeight="1">
      <c r="C957" s="392"/>
    </row>
    <row r="958" ht="12.0" customHeight="1">
      <c r="C958" s="392"/>
    </row>
    <row r="959" ht="12.0" customHeight="1">
      <c r="C959" s="392"/>
    </row>
    <row r="960" ht="12.0" customHeight="1">
      <c r="C960" s="392"/>
    </row>
    <row r="961" ht="12.0" customHeight="1">
      <c r="C961" s="392"/>
    </row>
    <row r="962" ht="12.0" customHeight="1">
      <c r="C962" s="392"/>
    </row>
    <row r="963" ht="12.0" customHeight="1">
      <c r="C963" s="392"/>
    </row>
    <row r="964" ht="12.0" customHeight="1">
      <c r="C964" s="392"/>
    </row>
    <row r="965" ht="12.0" customHeight="1">
      <c r="C965" s="392"/>
    </row>
    <row r="966" ht="12.0" customHeight="1">
      <c r="C966" s="392"/>
    </row>
    <row r="967" ht="12.0" customHeight="1">
      <c r="C967" s="392"/>
    </row>
    <row r="968" ht="12.0" customHeight="1">
      <c r="C968" s="392"/>
    </row>
    <row r="969" ht="12.0" customHeight="1">
      <c r="C969" s="392"/>
    </row>
    <row r="970" ht="12.0" customHeight="1">
      <c r="C970" s="392"/>
    </row>
    <row r="971" ht="12.0" customHeight="1">
      <c r="C971" s="392"/>
    </row>
    <row r="972" ht="12.0" customHeight="1">
      <c r="C972" s="392"/>
    </row>
    <row r="973" ht="12.0" customHeight="1">
      <c r="C973" s="392"/>
    </row>
    <row r="974" ht="12.0" customHeight="1">
      <c r="C974" s="392"/>
    </row>
    <row r="975" ht="12.0" customHeight="1">
      <c r="C975" s="392"/>
    </row>
    <row r="976" ht="12.0" customHeight="1">
      <c r="C976" s="392"/>
    </row>
    <row r="977" ht="12.0" customHeight="1">
      <c r="C977" s="392"/>
    </row>
    <row r="978" ht="12.0" customHeight="1">
      <c r="C978" s="392"/>
    </row>
    <row r="979" ht="12.0" customHeight="1">
      <c r="C979" s="392"/>
    </row>
    <row r="980" ht="12.0" customHeight="1">
      <c r="C980" s="392"/>
    </row>
    <row r="981" ht="12.0" customHeight="1">
      <c r="C981" s="392"/>
    </row>
    <row r="982" ht="12.0" customHeight="1">
      <c r="C982" s="392"/>
    </row>
    <row r="983" ht="12.0" customHeight="1">
      <c r="C983" s="392"/>
    </row>
    <row r="984" ht="12.0" customHeight="1">
      <c r="C984" s="392"/>
    </row>
    <row r="985" ht="12.0" customHeight="1">
      <c r="C985" s="392"/>
    </row>
    <row r="986" ht="12.0" customHeight="1">
      <c r="C986" s="392"/>
    </row>
    <row r="987" ht="12.0" customHeight="1">
      <c r="C987" s="392"/>
    </row>
    <row r="988" ht="12.0" customHeight="1">
      <c r="C988" s="392"/>
    </row>
    <row r="989" ht="12.0" customHeight="1">
      <c r="C989" s="392"/>
    </row>
    <row r="990" ht="12.0" customHeight="1">
      <c r="C990" s="392"/>
    </row>
    <row r="991" ht="12.0" customHeight="1">
      <c r="C991" s="392"/>
    </row>
    <row r="992" ht="12.0" customHeight="1">
      <c r="C992" s="392"/>
    </row>
    <row r="993" ht="12.0" customHeight="1">
      <c r="C993" s="392"/>
    </row>
    <row r="994" ht="12.0" customHeight="1">
      <c r="C994" s="392"/>
    </row>
    <row r="995" ht="12.0" customHeight="1">
      <c r="C995" s="392"/>
    </row>
    <row r="996" ht="12.0" customHeight="1">
      <c r="C996" s="392"/>
    </row>
    <row r="997" ht="12.0" customHeight="1">
      <c r="C997" s="392"/>
    </row>
    <row r="998" ht="12.0" customHeight="1">
      <c r="C998" s="392"/>
    </row>
    <row r="999" ht="12.0" customHeight="1">
      <c r="C999" s="392"/>
    </row>
    <row r="1000" ht="12.0"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Calcestruzzo"/>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0"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0" customHeight="1">
      <c r="A4" s="395"/>
      <c r="B4" s="426">
        <v>0.0</v>
      </c>
      <c r="C4" s="426">
        <v>0.0</v>
      </c>
      <c r="D4" s="395"/>
      <c r="E4" s="395" t="s">
        <v>656</v>
      </c>
      <c r="F4" s="428">
        <f>'Calcoli componente'!L26</f>
        <v>1.818181818</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0"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0" customHeight="1">
      <c r="A6" s="395"/>
      <c r="B6" s="426">
        <f>B5+'Caratteristiche componente'!$D8</f>
        <v>9.5</v>
      </c>
      <c r="C6" s="426">
        <f>C5+'Caratteristiche componente'!$D8</f>
        <v>9.5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0" customHeight="1">
      <c r="A7" s="395"/>
      <c r="B7" s="426">
        <f>B6+'Caratteristiche componente'!$D9</f>
        <v>19.5</v>
      </c>
      <c r="C7" s="426">
        <f>C6+'Caratteristiche componente'!$D9</f>
        <v>19.5</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0" customHeight="1">
      <c r="A8" s="395"/>
      <c r="B8" s="426">
        <f>B7+'Caratteristiche componente'!$D10</f>
        <v>21</v>
      </c>
      <c r="C8" s="426">
        <f>C7+'Caratteristiche componente'!$D10</f>
        <v>21</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0" customHeight="1">
      <c r="A9" s="395"/>
      <c r="B9" s="426">
        <f>B8+'Caratteristiche componente'!$D11</f>
        <v>21</v>
      </c>
      <c r="C9" s="426">
        <f>C8+'Caratteristiche componente'!$D11</f>
        <v>21</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0" customHeight="1">
      <c r="A10" s="395"/>
      <c r="B10" s="426">
        <f>B9+'Caratteristiche componente'!$D12</f>
        <v>21</v>
      </c>
      <c r="C10" s="426">
        <f>C9+'Caratteristiche componente'!$D12</f>
        <v>21</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0" customHeight="1">
      <c r="A11" s="395"/>
      <c r="B11" s="426">
        <f>B10+'Caratteristiche componente'!$D13</f>
        <v>21</v>
      </c>
      <c r="C11" s="426">
        <f>C10+'Caratteristiche componente'!$D13</f>
        <v>21</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0" customHeight="1">
      <c r="A12" s="395"/>
      <c r="B12" s="426">
        <f>B11+'Caratteristiche componente'!$D14</f>
        <v>21</v>
      </c>
      <c r="C12" s="426">
        <f>C11+'Caratteristiche componente'!$D14</f>
        <v>21</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0" customHeight="1">
      <c r="A13" s="395"/>
      <c r="B13" s="426">
        <f>B12+'Caratteristiche componente'!$D15</f>
        <v>21</v>
      </c>
      <c r="C13" s="426">
        <f>C12+'Caratteristiche componente'!$D15</f>
        <v>21</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0" customHeight="1">
      <c r="A14" s="395"/>
      <c r="B14" s="426">
        <f>B13+'Caratteristiche componente'!$D16</f>
        <v>21</v>
      </c>
      <c r="C14" s="426">
        <f>C13+'Caratteristiche componente'!$D16</f>
        <v>21</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0"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0"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0"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0"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0"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0"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0"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0"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0"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0"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0"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0"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0"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0"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0"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0"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0"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0"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0"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0"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0"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0"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0"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0"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0"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0"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0"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0"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0"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0"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0"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0"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0"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0"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0"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0"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0"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0"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0"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0"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0"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0"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0"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0"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0"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0"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0"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0"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0"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0"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0"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0"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0"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0"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0"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0"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0"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0"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0"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0"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0"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0"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0"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0"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0"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0"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0"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0"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0"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0"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0"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0"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0"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0"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0"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0"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0"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0"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0"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0"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0"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0"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0"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0"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0"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0"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0"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0"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0"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0"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0"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0"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0"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0"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0"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0"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0"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0"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0"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0"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0"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0"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0"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0"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0"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0"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0"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0"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0"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0"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0"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0"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0"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0"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0"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0"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0"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0"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0"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0"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0"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0"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0"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0"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0"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0"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0"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0"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0"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0"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0"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0"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0"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0"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0"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0"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0"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0"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0"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0"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0"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0"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0"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0"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0"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0"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0"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0"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0"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0"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0"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0"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0"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0"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0"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0"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0"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0"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0"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0"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0"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0"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0"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0"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0"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0"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0"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0"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0"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0"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0"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0"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0"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0"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0"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0"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0"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0"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0"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0"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0"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0"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0"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0"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0"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0"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0"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0"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0"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0"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0"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0"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0"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0"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0"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0"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0"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0"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0"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0"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0"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0"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0"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0"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0"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0"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0"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0"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0"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0"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0"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0"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0"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0"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0"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0"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0"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0"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0"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0"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0"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0"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0"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0"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0"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0"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0"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0"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0"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0"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0"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0"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0"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0"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0"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0"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0"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0"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0"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0"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0"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0"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0"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0"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0"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0"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0"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0"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0"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0"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0"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0"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0"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0"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0"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0"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0"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0"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0"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0"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0"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0"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0"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0"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0"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0"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0"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0"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0"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0"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0"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0"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0"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0"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0"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0"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0"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0"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0"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0"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0"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0"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0"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0"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0"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0"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0"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0"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0"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0"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0"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0"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0"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0"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0"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0"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0"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0"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0"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0"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0"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0"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0"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0"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0"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0"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0"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0"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0"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0"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0"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0"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0"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0"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0"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0"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0"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0"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0"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0"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0"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0"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0"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0"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0"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0"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0"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0"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0"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0"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0"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0"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0"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0"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0"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0"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0"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0"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0"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0"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0"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0"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0"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0"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0"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0"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0"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0"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0"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0"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0"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0"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0"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0"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0"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0"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0"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0"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0"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0"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0"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0"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0"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0"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0"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0"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0"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0"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0"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0"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0"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0"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0"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0"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0"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0"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0"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0"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0"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0"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0"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0"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0"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0"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0"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0"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0"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0"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0"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0"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0"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0"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0"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0"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0"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0"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0"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0"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0"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0"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0"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0"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0"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0"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0"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0"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0"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0"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0"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0"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0"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0"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0"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0"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0"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0"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0"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0"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0"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0"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0"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0"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0"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0"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0"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0"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0"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0"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0"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0"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0"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0"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0"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0"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0"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0"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0"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0"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0"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0"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0"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0"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0"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0"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0"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0"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0"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0"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0"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0"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0"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0"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0"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0"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0"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0"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0"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0"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0"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0"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0"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0"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0"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0"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0"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0"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0"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0"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0"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0"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0"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0"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0"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0"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0"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0"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0"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0"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0"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0"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0"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0"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0"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0"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0"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0"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0"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0"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0"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0"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0"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0"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0"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0"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0"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0"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0"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0"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0"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0"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0"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0"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0"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0"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0"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0"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0"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0"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0"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0"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0"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0"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0"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0"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0"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0"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0"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0"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0"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0"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0"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0"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0"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0"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0"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0"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0"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0"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0"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0"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0"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0"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0"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0"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0"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0"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0"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0"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0"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0"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0"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0"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0"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0"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0"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0"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0"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0"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0"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0"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0"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0"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0"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0"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0"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0"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0"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0"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0"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0"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0"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0"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0"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0"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0"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0"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0"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0"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0"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0"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0"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0"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0"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0"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0"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0"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0"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0"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0"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0"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0"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0"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0"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0"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0"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0"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0"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0"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0"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0"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0"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0"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0"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0"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0"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0"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0"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0"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0"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0"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0"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0"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0"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0"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0"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0"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0"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0"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0"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0"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0"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0"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0"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0"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0"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0"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0"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0"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0"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0"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0"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0"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0"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0"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0"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0"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0"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0"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0"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0"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0"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0"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0"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0"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0"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0"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0"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0"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0"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0"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0"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0"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0"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0"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0"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0"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0"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0"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0"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0"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0"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0"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0"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0"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0"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0"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0"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0"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0"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0"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0"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0"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0"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0"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0"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0"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0"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0"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0"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0"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0"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0"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0"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0"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0"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0"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0"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0"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0"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0"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0"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0"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0"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0"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0"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0"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0"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0"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0"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0"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0"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0"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0"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0"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0"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0"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0"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0"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0"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0"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0"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0"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0"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0"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0"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0"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0"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0"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0"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0"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0"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0"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0"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0"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0"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0"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0"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0"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0"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0"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0"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0"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0"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0"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0"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0"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0"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0"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0"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0"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0"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0"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0"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0"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0"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0"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0"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0"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0"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0"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0"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0"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0"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0"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0"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0"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0"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0"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0"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0"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0"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0"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0"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0"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0"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0"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0"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0"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0"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0"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0"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0"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0"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0"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0"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0"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0"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0"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0"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0"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0"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0"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0"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0"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0"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0"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0"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0"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0"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0"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0"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0"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0"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0"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0"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0"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0"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0"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0"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0"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0"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0"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0"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0"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0"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0"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0"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0"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0"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0"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0"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0"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0"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0"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0"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0"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0"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0"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0"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0"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0"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0"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0"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0"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0"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0"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0"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0"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0"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0"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0"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0"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0"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0"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0"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0"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0"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0"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0"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0"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0"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0"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0"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0"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0"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0"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0"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0"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0"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0"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0"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0"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0"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0"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0"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0"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0"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0"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0"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0"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0"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0"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0"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0"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0"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0"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0"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0"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0"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0"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0"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0"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0"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0"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0"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0"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0"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0"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0"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0"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0"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0"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0"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0"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0"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0"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0"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0"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0"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0"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0"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0"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0"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0"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0"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0"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0"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0"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0"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0"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0"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0"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0"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0"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0"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0"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0"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0"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0"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0"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0"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0"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0"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0"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0"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0"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0"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0"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0"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0"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0"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0"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0"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0"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0"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0"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0"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0"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0"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0"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0"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0"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0"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0"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0"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0"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0"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0"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0"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0"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0"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0"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0"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0"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0"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0"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0"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0"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0"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0"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0"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0"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0"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0"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0"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0"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0"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0"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0"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0"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0"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0"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0"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0"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0"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0"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0"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0"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0"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0"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0"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0"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0"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0"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0"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0"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0"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0"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0"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0"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0"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0"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0"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0"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0"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0"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0"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0"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0"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0"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0"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0"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0"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0"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0"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0"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