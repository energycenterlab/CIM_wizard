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localSheetId="9" name="OLE_LINK1">Materiali!$C$2</definedName>
    <definedName name="tsat">#REF!</definedName>
    <definedName name="ngiorni">#REF!</definedName>
    <definedName name="imese">#REF!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<sst xmlns="http://schemas.openxmlformats.org/spreadsheetml/2006/main" count="1624" uniqueCount="659">
  <si>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</si>
  <si>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</si>
  <si>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</si>
  <si>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</si>
  <si>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</si>
  <si>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</si>
  <si>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</si>
  <si>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</si>
  <si>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</si>
  <si>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</si>
  <si>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</si>
  <si>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</si>
  <si>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</si>
  <si>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</si>
  <si>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</si>
  <si>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</si>
  <si>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</si>
  <si>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</si>
  <si>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</si>
  <si>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</si>
  <si>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</si>
  <si>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</si>
  <si>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</si>
  <si>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</si>
  <si>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</si>
  <si>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</si>
  <si>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</si>
  <si>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</si>
  <si>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</si>
  <si>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</si>
  <si>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</si>
  <si>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</si>
  <si>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</si>
  <si>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</si>
  <si>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</si>
  <si>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</si>
  <si>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</si>
  <si>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</si>
  <si>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</si>
  <si>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</si>
  <si>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</si>
  <si>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</si>
  <si>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</si>
  <si>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</si>
  <si>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</si>
  <si>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</si>
  <si>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laterizio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</si>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</sst>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848649672"/>
        <c:axId val="769062626"/>
      </c:scatterChart>
      <c:valAx>
        <c:axId val="184864967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69062626"/>
      </c:valAx>
      <c:valAx>
        <c:axId val="76906262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8649672"/>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766849724"/>
        <c:axId val="1229059481"/>
      </c:scatterChart>
      <c:valAx>
        <c:axId val="1766849724"/>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9059481"/>
      </c:valAx>
      <c:valAx>
        <c:axId val="122905948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6849724"/>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1244867319"/>
        <c:axId val="680173501"/>
      </c:scatterChart>
      <c:valAx>
        <c:axId val="124486731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0173501"/>
      </c:valAx>
      <c:valAx>
        <c:axId val="68017350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486731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928528158"/>
        <c:axId val="273953353"/>
      </c:scatterChart>
      <c:valAx>
        <c:axId val="192852815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3953353"/>
      </c:valAx>
      <c:valAx>
        <c:axId val="273953353"/>
        <c:scaling>
          <c:orientation val="minMax"/>
        </c:scaling>
        <c:delete val="0"/>
        <c:axPos val="l"/>
        <c:tickLblPos val="nextTo"/>
        <c:spPr>
          <a:ln>
            <a:noFill/>
          </a:ln>
        </c:spPr>
        <c:crossAx val="192852815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470181010"/>
        <c:axId val="1511228001"/>
      </c:scatterChart>
      <c:valAx>
        <c:axId val="147018101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11228001"/>
      </c:valAx>
      <c:valAx>
        <c:axId val="1511228001"/>
        <c:scaling>
          <c:orientation val="minMax"/>
        </c:scaling>
        <c:delete val="0"/>
        <c:axPos val="l"/>
        <c:tickLblPos val="nextTo"/>
        <c:spPr>
          <a:ln>
            <a:noFill/>
          </a:ln>
        </c:spPr>
        <c:crossAx val="1470181010"/>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933684599"/>
        <c:axId val="1719887313"/>
      </c:scatterChart>
      <c:valAx>
        <c:axId val="9336845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19887313"/>
      </c:valAx>
      <c:valAx>
        <c:axId val="171988731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33684599"/>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f>'Calcoli componente'!$L$37</f>
        <v>4.222533031</v>
      </c>
      <c r="O6" s="54" t="s">
        <v>36</v>
      </c>
      <c r="P6" s="55">
        <f>'Calcoli componente'!K37</f>
        <v>1.40943935</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v>2300.0</v>
      </c>
      <c r="F7" s="61">
        <v>213.0</v>
      </c>
      <c r="G7" s="62">
        <v>840.0</v>
      </c>
      <c r="H7" s="63">
        <v>1.0</v>
      </c>
      <c r="I7" s="64"/>
      <c r="J7" s="65"/>
      <c r="K7" s="18"/>
      <c r="L7" s="18"/>
      <c r="M7" s="66" t="s">
        <v>39</v>
      </c>
      <c r="N7" s="67">
        <f>'Calcoli componente'!$L$44</f>
        <v>4.826884796</v>
      </c>
      <c r="O7" s="68" t="s">
        <v>40</v>
      </c>
      <c r="P7" s="69">
        <f>'Calcoli componente'!K44</f>
        <v>2.455085757</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5.0</v>
      </c>
      <c r="E8" s="74">
        <v>2000.0</v>
      </c>
      <c r="F8" s="75">
        <v>69.0</v>
      </c>
      <c r="G8" s="76">
        <v>880.0</v>
      </c>
      <c r="H8" s="77">
        <v>1.16</v>
      </c>
      <c r="I8" s="78"/>
      <c r="J8" s="79"/>
      <c r="K8" s="18"/>
      <c r="L8" s="18"/>
      <c r="M8" s="80" t="s">
        <v>43</v>
      </c>
      <c r="N8" s="81">
        <f>'Calcoli componente'!$L$30</f>
        <v>0.7148219361</v>
      </c>
      <c r="O8" s="82" t="s">
        <v>44</v>
      </c>
      <c r="P8" s="83">
        <f>'Calcoli componente'!K30</f>
        <v>-7.058920429</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33.0</v>
      </c>
      <c r="E9" s="74">
        <v>600.0</v>
      </c>
      <c r="F9" s="75">
        <v>7.4</v>
      </c>
      <c r="G9" s="76">
        <v>840.0</v>
      </c>
      <c r="H9" s="77">
        <v>0.9</v>
      </c>
      <c r="I9" s="78"/>
      <c r="J9" s="79"/>
      <c r="K9" s="18"/>
      <c r="L9" s="18"/>
      <c r="M9" s="85" t="s">
        <v>47</v>
      </c>
      <c r="N9" s="86">
        <f>'Calcoli componente'!$E$37</f>
        <v>64.46248044</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74.43320335</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0.6297701149</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1.587881</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0.4501734928</v>
      </c>
      <c r="O13" s="103"/>
      <c r="P13" s="92"/>
      <c r="Q13" s="93"/>
      <c r="R13" s="18"/>
      <c r="S13" s="18"/>
      <c r="T13" s="18"/>
      <c r="U13" s="18"/>
      <c r="V13" s="18"/>
      <c r="W13" s="18"/>
      <c r="X13" s="18"/>
      <c r="Y13" s="18"/>
      <c r="Z13" s="18"/>
      <c r="AA13" s="18"/>
      <c r="AB13" s="104" t="str">
        <f>D2</f>
        <v>Chiusura orizzontale inferiore</v>
      </c>
      <c r="AC13" s="105">
        <f>DGET($AB$4:$AD$10,"Rsi",$AB$12:$AB$13)</f>
        <v>0.17</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39</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321</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f>ABS((SIGN($P$8)*(ABS($P$8)/24-INT(ABS($P$8)/24))-IF(AND($P$8&gt;0,(ABS($P$8)/24-INT(ABS($P$8)/24))&lt;&gt;0),1,0))*24)</f>
        <v>7.058920429</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piastrelle</v>
      </c>
      <c r="C7" s="140">
        <f>'Caratteristiche componente'!D7</f>
        <v>1</v>
      </c>
      <c r="D7" s="141">
        <f>IF('Caratteristiche componente'!E7&lt;&gt;"",'Caratteristiche componente'!E7,"")</f>
        <v>2300</v>
      </c>
      <c r="E7" s="141">
        <f>IF('Caratteristiche componente'!F7&lt;&gt;"",'Caratteristiche componente'!F7,"")</f>
        <v>213</v>
      </c>
      <c r="F7" s="142">
        <f>IF('Caratteristiche componente'!G7&lt;&gt;"",'Caratteristiche componente'!G7,"")</f>
        <v>840</v>
      </c>
      <c r="G7" s="143">
        <f>IF('Caratteristiche componente'!H7&lt;&gt;"",'Caratteristiche componente'!H7,IF('Caratteristiche componente'!I7&lt;&gt;"",C7/100/'Caratteristiche componente'!I7,""))</f>
        <v>1</v>
      </c>
      <c r="H7" s="144">
        <f t="shared" ref="H7:H16" si="1">IF($C7&gt;0,IF(OR($B7="intercapedine",$B7="aria"),$C7/100/$K7,$G7)/($D7*$F7),"")</f>
        <v>0.0000005175983437</v>
      </c>
      <c r="I7" s="145">
        <f t="shared" ref="I7:I16" si="2">IF($C7&gt;0,$C7/100*$D7,0)</f>
        <v>23</v>
      </c>
      <c r="J7" s="146">
        <f>IF($C7&gt;0,IF(OR('Caratteristiche componente'!$C7="intercapedine",'Caratteristiche componente'!$C7="aria",'Caratteristiche componente'!$C7="intercapedine d'aria"),0.01,$C7/100*$E7),0)</f>
        <v>2.13</v>
      </c>
      <c r="K7" s="147">
        <f t="shared" ref="K7:K16" si="3">IF($C7&gt;0,IF(OR($B7="*intercapedine",$B7="*aria"),0.158,$C7/100/$G7),0)</f>
        <v>0.01</v>
      </c>
      <c r="L7" s="147">
        <f t="shared" ref="L7:L17" si="4">IF($C7&gt;0,1/$K7,"")</f>
        <v>100</v>
      </c>
      <c r="M7" s="148">
        <f t="shared" ref="M7:M16" si="5">IF($C7&gt;0,$I7*$F7,0)</f>
        <v>19320</v>
      </c>
      <c r="N7" s="18"/>
      <c r="O7" s="149">
        <f>$M7*($K$22+$K$16+$K$15+$K$14+$K$13+$K$12+$K$11+$K$10+$K$9+$K$8+$K7/2)</f>
        <v>8786.158621</v>
      </c>
      <c r="P7" s="148">
        <f>$M7*($K$21+$K7/2)</f>
        <v>3381</v>
      </c>
      <c r="Q7" s="18"/>
      <c r="R7" s="150">
        <f t="shared" ref="R7:R16" si="6">IF($C7&gt;0,SQRT($H7*($R$26*3600)/PI()),0)</f>
        <v>0.1193104198</v>
      </c>
      <c r="S7" s="151">
        <f t="shared" ref="S7:S16" si="7">IF($C7&gt;0,($C7/100)/R7,0)</f>
        <v>0.08381497622</v>
      </c>
      <c r="T7" s="151">
        <f t="shared" ref="T7:T16" si="8">COSH($S7)*COS($S7)</f>
        <v>0.999991775</v>
      </c>
      <c r="U7" s="151">
        <f t="shared" ref="U7:U16" si="9">SINH($S7)*SIN($S7)</f>
        <v>0.007024946387</v>
      </c>
      <c r="V7" s="151">
        <f t="shared" ref="V7:V16" si="10">SINH($S7)*COS($S7)</f>
        <v>0.08361857305</v>
      </c>
      <c r="W7" s="152">
        <f t="shared" ref="W7:W16" si="11">COSH($S7)*SIN($S7)</f>
        <v>0.08401110365</v>
      </c>
      <c r="X7" s="150">
        <f t="shared" ref="X7:X16" si="12">$T7</f>
        <v>0.999991775</v>
      </c>
      <c r="Y7" s="151">
        <f t="shared" ref="Y7:Y16" si="13">$U7</f>
        <v>0.007024946387</v>
      </c>
      <c r="Z7" s="151">
        <f t="shared" ref="Z7:Z16" si="14">SQRT(X7^2+Y7^2)</f>
        <v>1.00001645</v>
      </c>
      <c r="AA7" s="153">
        <f t="shared" ref="AA7:AA16" si="15">DEGREES(IF(Y7&lt;&gt;0,ATAN2(X7,Y7),0))</f>
        <v>0.4024964688</v>
      </c>
      <c r="AB7" s="154">
        <f t="shared" ref="AB7:AB16" si="16">AA7*$R$26/360</f>
        <v>0.02683309792</v>
      </c>
      <c r="AC7" s="150">
        <f t="shared" ref="AC7:AC16" si="17">IF($C7&gt;0,-($R7/2/$G7)*($V7+$W7),0)</f>
        <v>-0.00999998355</v>
      </c>
      <c r="AD7" s="151">
        <f t="shared" ref="AD7:AD16" si="18">IF($C7&gt;0,-($R7/2/$G7)*($W7-$V7),0)</f>
        <v>-0.00002341649529</v>
      </c>
      <c r="AE7" s="151">
        <f t="shared" ref="AE7:AE16" si="19">SQRT(AC7^2+AD7^2)</f>
        <v>0.01000001097</v>
      </c>
      <c r="AF7" s="153">
        <f t="shared" ref="AF7:AF16" si="20">DEGREES(IF(AD7&lt;&gt;0,ATAN2(AC7,AD7),0))</f>
        <v>-179.8658334</v>
      </c>
      <c r="AG7" s="154">
        <f t="shared" ref="AG7:AG16" si="21">AF7*$R$26/360</f>
        <v>-11.99105556</v>
      </c>
      <c r="AH7" s="150">
        <f t="shared" ref="AH7:AH16" si="22">IF($C7&gt;0,-($G7/$R7)*($V7-$W7),0)</f>
        <v>0.003289994284</v>
      </c>
      <c r="AI7" s="151">
        <f t="shared" ref="AI7:AI16" si="23">IF($C7&gt;0,-($G7/$R7)*($V7+$W7),0)</f>
        <v>-1.404987737</v>
      </c>
      <c r="AJ7" s="151">
        <f t="shared" ref="AJ7:AJ16" si="24">SQRT(AH7^2+AI7^2)</f>
        <v>1.404991589</v>
      </c>
      <c r="AK7" s="153">
        <f t="shared" ref="AK7:AK16" si="25">DEGREES(IF(AI7&lt;&gt;0,ATAN2(AH7,AI7),0))</f>
        <v>-89.86583339</v>
      </c>
      <c r="AL7" s="154">
        <f t="shared" ref="AL7:AL16" si="26">AK7*$R$26/360</f>
        <v>-5.991055559</v>
      </c>
      <c r="AM7" s="155">
        <f t="shared" ref="AM7:AM16" si="27">$T7</f>
        <v>0.999991775</v>
      </c>
      <c r="AN7" s="151">
        <f t="shared" ref="AN7:AN16" si="28">$U7</f>
        <v>0.007024946387</v>
      </c>
      <c r="AO7" s="151">
        <f t="shared" ref="AO7:AO16" si="29">Z7</f>
        <v>1.00001645</v>
      </c>
      <c r="AP7" s="153">
        <f t="shared" ref="AP7:AP16" si="30">DEGREES(IF(AN7&lt;&gt;0,ATAN2(AM7,AN7),0))</f>
        <v>0.4024964688</v>
      </c>
      <c r="AQ7" s="154">
        <f t="shared" ref="AQ7:AQ16" si="31">AP7*$R$26/360</f>
        <v>0.02683309792</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5</v>
      </c>
      <c r="D8" s="74">
        <f>IF('Caratteristiche componente'!E8&lt;&gt;"",'Caratteristiche componente'!E8,"")</f>
        <v>2000</v>
      </c>
      <c r="E8" s="74">
        <f>IF('Caratteristiche componente'!F8&lt;&gt;"",'Caratteristiche componente'!F8,"")</f>
        <v>69</v>
      </c>
      <c r="F8" s="76">
        <f>IF('Caratteristiche componente'!G8&lt;&gt;"",'Caratteristiche componente'!G8,"")</f>
        <v>880</v>
      </c>
      <c r="G8" s="77">
        <f>IF('Caratteristiche componente'!H8&lt;&gt;"",'Caratteristiche componente'!H8,IF('Caratteristiche componente'!I8&lt;&gt;"",C8/100/'Caratteristiche componente'!I8,""))</f>
        <v>1.16</v>
      </c>
      <c r="H8" s="157">
        <f t="shared" si="1"/>
        <v>0.0000006590909091</v>
      </c>
      <c r="I8" s="158">
        <f t="shared" si="2"/>
        <v>100</v>
      </c>
      <c r="J8" s="159">
        <f>IF($C8&gt;0,IF(OR('Caratteristiche componente'!$C8="intercapedine",'Caratteristiche componente'!$C8="aria",'Caratteristiche componente'!$C8="intercapedine d'aria"),0.01,$C8/100*$E8),0)</f>
        <v>3.45</v>
      </c>
      <c r="K8" s="160">
        <f t="shared" si="3"/>
        <v>0.04310344828</v>
      </c>
      <c r="L8" s="160">
        <f t="shared" si="4"/>
        <v>23.2</v>
      </c>
      <c r="M8" s="161">
        <f t="shared" si="5"/>
        <v>88000</v>
      </c>
      <c r="N8" s="18"/>
      <c r="O8" s="162">
        <f>$M8*($K$22+$K$16+$K$15+$K$14+$K$13+$K$12+$K$11+$K$10+$K$9+$K8/2)</f>
        <v>37683.21839</v>
      </c>
      <c r="P8" s="161">
        <f>$M8*($K$21+$K$7+$K8/2)</f>
        <v>17736.55172</v>
      </c>
      <c r="Q8" s="18"/>
      <c r="R8" s="163">
        <f t="shared" si="6"/>
        <v>0.1346339525</v>
      </c>
      <c r="S8" s="164">
        <f t="shared" si="7"/>
        <v>0.3713773464</v>
      </c>
      <c r="T8" s="164">
        <f t="shared" si="8"/>
        <v>0.9968297704</v>
      </c>
      <c r="U8" s="164">
        <f t="shared" si="9"/>
        <v>0.1378919831</v>
      </c>
      <c r="V8" s="164">
        <f t="shared" si="10"/>
        <v>0.3540698231</v>
      </c>
      <c r="W8" s="165">
        <f t="shared" si="11"/>
        <v>0.3882139197</v>
      </c>
      <c r="X8" s="163">
        <f t="shared" si="12"/>
        <v>0.9968297704</v>
      </c>
      <c r="Y8" s="164">
        <f t="shared" si="13"/>
        <v>0.1378919831</v>
      </c>
      <c r="Z8" s="164">
        <f t="shared" si="14"/>
        <v>1.006321912</v>
      </c>
      <c r="AA8" s="166">
        <f t="shared" si="15"/>
        <v>7.875773738</v>
      </c>
      <c r="AB8" s="167">
        <f t="shared" si="16"/>
        <v>0.5250515825</v>
      </c>
      <c r="AC8" s="163">
        <f t="shared" si="17"/>
        <v>-0.04307611816</v>
      </c>
      <c r="AD8" s="164">
        <f t="shared" si="18"/>
        <v>-0.001981445982</v>
      </c>
      <c r="AE8" s="164">
        <f t="shared" si="19"/>
        <v>0.04312166606</v>
      </c>
      <c r="AF8" s="166">
        <f t="shared" si="20"/>
        <v>-177.3663244</v>
      </c>
      <c r="AG8" s="167">
        <f t="shared" si="21"/>
        <v>-11.82442162</v>
      </c>
      <c r="AH8" s="163">
        <f t="shared" si="22"/>
        <v>0.2941839806</v>
      </c>
      <c r="AI8" s="164">
        <f t="shared" si="23"/>
        <v>-6.395482906</v>
      </c>
      <c r="AJ8" s="164">
        <f t="shared" si="24"/>
        <v>6.402245373</v>
      </c>
      <c r="AK8" s="166">
        <f t="shared" si="25"/>
        <v>-87.36632437</v>
      </c>
      <c r="AL8" s="167">
        <f t="shared" si="26"/>
        <v>-5.824421625</v>
      </c>
      <c r="AM8" s="168">
        <f t="shared" si="27"/>
        <v>0.9968297704</v>
      </c>
      <c r="AN8" s="164">
        <f t="shared" si="28"/>
        <v>0.1378919831</v>
      </c>
      <c r="AO8" s="164">
        <f t="shared" si="29"/>
        <v>1.006321912</v>
      </c>
      <c r="AP8" s="166">
        <f t="shared" si="30"/>
        <v>7.875773738</v>
      </c>
      <c r="AQ8" s="167">
        <f t="shared" si="31"/>
        <v>0.5250515825</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laterizio</v>
      </c>
      <c r="C9" s="156">
        <f>'Caratteristiche componente'!D9</f>
        <v>33</v>
      </c>
      <c r="D9" s="74">
        <f>IF('Caratteristiche componente'!E9&lt;&gt;"",'Caratteristiche componente'!E9,"")</f>
        <v>600</v>
      </c>
      <c r="E9" s="74">
        <f>IF('Caratteristiche componente'!F9&lt;&gt;"",'Caratteristiche componente'!F9,"")</f>
        <v>7.4</v>
      </c>
      <c r="F9" s="76">
        <f>IF('Caratteristiche componente'!G9&lt;&gt;"",'Caratteristiche componente'!G9,"")</f>
        <v>840</v>
      </c>
      <c r="G9" s="77">
        <f>IF('Caratteristiche componente'!H9&lt;&gt;"",'Caratteristiche componente'!H9,IF('Caratteristiche componente'!I9&lt;&gt;"",C9/100/'Caratteristiche componente'!I9,""))</f>
        <v>0.9</v>
      </c>
      <c r="H9" s="157">
        <f t="shared" si="1"/>
        <v>0.000001785714286</v>
      </c>
      <c r="I9" s="158">
        <f t="shared" si="2"/>
        <v>198</v>
      </c>
      <c r="J9" s="159">
        <f>IF($C9&gt;0,IF(OR('Caratteristiche componente'!$C9="intercapedine",'Caratteristiche componente'!$C9="aria",'Caratteristiche componente'!$C9="intercapedine d'aria"),0.01,$C9/100*$E9),0)</f>
        <v>2.442</v>
      </c>
      <c r="K9" s="160">
        <f t="shared" si="3"/>
        <v>0.3666666667</v>
      </c>
      <c r="L9" s="160">
        <f t="shared" si="4"/>
        <v>2.727272727</v>
      </c>
      <c r="M9" s="161">
        <f t="shared" si="5"/>
        <v>166320</v>
      </c>
      <c r="N9" s="18"/>
      <c r="O9" s="162">
        <f>$M9*($K$22+$K$16+$K$15+$K$14+$K$13+$K$12+$K$11+$K$10+$K9/2)</f>
        <v>37144.8</v>
      </c>
      <c r="P9" s="161">
        <f>$M9*($K$21+$K$7+$K$8+$K9/2)</f>
        <v>67598.56552</v>
      </c>
      <c r="Q9" s="18"/>
      <c r="R9" s="163">
        <f t="shared" si="6"/>
        <v>0.2216092691</v>
      </c>
      <c r="S9" s="164">
        <f t="shared" si="7"/>
        <v>1.489107389</v>
      </c>
      <c r="T9" s="164">
        <f t="shared" si="8"/>
        <v>0.1900710033</v>
      </c>
      <c r="U9" s="164">
        <f t="shared" si="9"/>
        <v>2.096765933</v>
      </c>
      <c r="V9" s="164">
        <f t="shared" si="10"/>
        <v>0.1716645968</v>
      </c>
      <c r="W9" s="165">
        <f t="shared" si="11"/>
        <v>2.32158763</v>
      </c>
      <c r="X9" s="163">
        <f t="shared" si="12"/>
        <v>0.1900710033</v>
      </c>
      <c r="Y9" s="164">
        <f t="shared" si="13"/>
        <v>2.096765933</v>
      </c>
      <c r="Z9" s="164">
        <f t="shared" si="14"/>
        <v>2.105363238</v>
      </c>
      <c r="AA9" s="166">
        <f t="shared" si="15"/>
        <v>84.82031703</v>
      </c>
      <c r="AB9" s="167">
        <f t="shared" si="16"/>
        <v>5.654687802</v>
      </c>
      <c r="AC9" s="163">
        <f t="shared" si="17"/>
        <v>-0.306959891</v>
      </c>
      <c r="AD9" s="164">
        <f t="shared" si="18"/>
        <v>-0.2646904845</v>
      </c>
      <c r="AE9" s="164">
        <f t="shared" si="19"/>
        <v>0.4053213876</v>
      </c>
      <c r="AF9" s="166">
        <f t="shared" si="20"/>
        <v>-139.228912</v>
      </c>
      <c r="AG9" s="167">
        <f t="shared" si="21"/>
        <v>-9.281927469</v>
      </c>
      <c r="AH9" s="163">
        <f t="shared" si="22"/>
        <v>8.731271657</v>
      </c>
      <c r="AI9" s="164">
        <f t="shared" si="23"/>
        <v>-10.12560085</v>
      </c>
      <c r="AJ9" s="164">
        <f t="shared" si="24"/>
        <v>13.37022428</v>
      </c>
      <c r="AK9" s="166">
        <f t="shared" si="25"/>
        <v>-49.22891204</v>
      </c>
      <c r="AL9" s="167">
        <f t="shared" si="26"/>
        <v>-3.281927469</v>
      </c>
      <c r="AM9" s="168">
        <f t="shared" si="27"/>
        <v>0.1900710033</v>
      </c>
      <c r="AN9" s="164">
        <f t="shared" si="28"/>
        <v>2.096765933</v>
      </c>
      <c r="AO9" s="164">
        <f t="shared" si="29"/>
        <v>2.105363238</v>
      </c>
      <c r="AP9" s="166">
        <f t="shared" si="30"/>
        <v>84.82031703</v>
      </c>
      <c r="AQ9" s="167">
        <f t="shared" si="31"/>
        <v>5.654687802</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39</v>
      </c>
      <c r="D17" s="188"/>
      <c r="E17" s="190"/>
      <c r="F17" s="190"/>
      <c r="G17" s="190"/>
      <c r="H17" s="191"/>
      <c r="I17" s="192">
        <f t="shared" ref="I17:K17" si="32">SUM(I$7:I$16)</f>
        <v>321</v>
      </c>
      <c r="J17" s="193">
        <f t="shared" si="32"/>
        <v>8.022</v>
      </c>
      <c r="K17" s="193">
        <f t="shared" si="32"/>
        <v>0.4197701149</v>
      </c>
      <c r="L17" s="194">
        <f t="shared" si="4"/>
        <v>2.382256298</v>
      </c>
      <c r="M17" s="195">
        <f>SUM(M$7:M$16)</f>
        <v>273640</v>
      </c>
      <c r="N17" s="18"/>
      <c r="O17" s="196">
        <f t="shared" ref="O17:P17" si="33">SUM(O$7:O$16)</f>
        <v>83614.17701</v>
      </c>
      <c r="P17" s="197">
        <f t="shared" si="33"/>
        <v>88716.11724</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0.17</v>
      </c>
      <c r="L21" s="154">
        <f t="shared" ref="L21:L22" si="34">1/K21</f>
        <v>5.882352941</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-0.17</v>
      </c>
      <c r="AD21" s="151">
        <v>0.0</v>
      </c>
      <c r="AE21" s="151">
        <f t="shared" ref="AE21:AE22" si="39">SQRT(AC21^2+AD21^2)</f>
        <v>0.17</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0.6297701149</v>
      </c>
      <c r="L26" s="216">
        <f>1/$K$26</f>
        <v>1.587881</v>
      </c>
      <c r="M26" s="18"/>
      <c r="N26" s="217">
        <f>M17*K26/3600</f>
        <v>47.86952618</v>
      </c>
      <c r="O26" s="218">
        <f>$O$17/3600</f>
        <v>23.22616028</v>
      </c>
      <c r="P26" s="219">
        <f>$P$17/3600</f>
        <v>24.6433659</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f>'Calcoli matriciali'!$AP$9</f>
        <v>-2.469386125</v>
      </c>
      <c r="Y27" s="182">
        <f>'Calcoli matriciali'!$AQ$9</f>
        <v>4.371345498</v>
      </c>
      <c r="Z27" s="182">
        <f t="shared" ref="Z27:Z28" si="48">SQRT(X27^2+Y27^2)</f>
        <v>5.020610451</v>
      </c>
      <c r="AA27" s="184">
        <f t="shared" ref="AA27:AA28" si="49">DEGREES(IF(Y27&lt;&gt;0,ATAN2(X27,Y27),0))</f>
        <v>119.4622347</v>
      </c>
      <c r="AB27" s="225">
        <f t="shared" ref="AB27:AB28" si="50">AA27*$R$26/360</f>
        <v>7.964148977</v>
      </c>
      <c r="AC27" s="181">
        <f>'Calcoli matriciali'!$AR$9</f>
        <v>-0.2518091512</v>
      </c>
      <c r="AD27" s="182">
        <f>'Calcoli matriciali'!$AS$9</f>
        <v>-0.4387660373</v>
      </c>
      <c r="AE27" s="182">
        <f t="shared" ref="AE27:AE28" si="51">SQRT(AC27^2+AD27^2)</f>
        <v>0.5058888061</v>
      </c>
      <c r="AF27" s="184">
        <f t="shared" ref="AF27:AF28" si="52">DEGREES(IF(AD27&lt;&gt;0,ATAN2(AC27,AD27),0))</f>
        <v>-119.851644</v>
      </c>
      <c r="AG27" s="185">
        <f t="shared" ref="AG27:AG28" si="53">AF27*$R$26/360</f>
        <v>-7.9901096</v>
      </c>
      <c r="AH27" s="181">
        <f>'Calcoli matriciali'!$AP$11</f>
        <v>27.19233036</v>
      </c>
      <c r="AI27" s="182">
        <f>'Calcoli matriciali'!$AQ$11</f>
        <v>-8.617686132</v>
      </c>
      <c r="AJ27" s="182">
        <f t="shared" ref="AJ27:AJ28" si="54">SQRT(AH27^2+AI27^2)</f>
        <v>28.52520543</v>
      </c>
      <c r="AK27" s="184">
        <f t="shared" ref="AK27:AK28" si="55">DEGREES(IF(AI27&lt;&gt;0,ATAN2(AH27,AI27),0))</f>
        <v>-17.58424461</v>
      </c>
      <c r="AL27" s="185">
        <f t="shared" ref="AL27:AL28" si="56">AK27*$R$26/360</f>
        <v>-1.172282974</v>
      </c>
      <c r="AM27" s="186">
        <f>'Calcoli matriciali'!$AR$11</f>
        <v>-0.7495145248</v>
      </c>
      <c r="AN27" s="182">
        <f>'Calcoli matriciali'!$AS$11</f>
        <v>2.626025876</v>
      </c>
      <c r="AO27" s="182">
        <f t="shared" ref="AO27:AO28" si="57">SQRT(AM27^2+AN27^2)</f>
        <v>2.730894345</v>
      </c>
      <c r="AP27" s="90">
        <f t="shared" ref="AP27:AP28" si="58">DEGREES(IF(AN27&lt;&gt;0,ATAN2(AM27,AN27),0))</f>
        <v>105.9296893</v>
      </c>
      <c r="AQ27" s="185">
        <f t="shared" ref="AQ27:AQ28" si="59">AP27*$R$26/360</f>
        <v>7.061979286</v>
      </c>
      <c r="AR27" s="181">
        <f t="shared" ref="AR27:AR28" si="60">-($X27*$AC27+$Y27*$AD27)/($AC27^2+$AD27^2)</f>
        <v>5.064732227</v>
      </c>
      <c r="AS27" s="182">
        <f t="shared" ref="AS27:AS28" si="61">-($Y27*$AC27-$X27*$AD27)/($AC27^2+$AD27^2)</f>
        <v>8.534689857</v>
      </c>
      <c r="AT27" s="182">
        <f t="shared" ref="AT27:AT28" si="62">SQRT(AR27^2+AS27^2)</f>
        <v>9.924335922</v>
      </c>
      <c r="AU27" s="184">
        <f t="shared" ref="AU27:AU28" si="63">DEGREES(IF(AS27&lt;&gt;0,ATAN2(AR27,AS27),0))</f>
        <v>59.31387865</v>
      </c>
      <c r="AV27" s="185">
        <f t="shared" ref="AV27:AV28" si="64">AU27*$R$26/360</f>
        <v>3.954258577</v>
      </c>
      <c r="AW27" s="181">
        <f t="shared" ref="AW27:AW28" si="65">-($AM27*$AC27+$AN27*$AD27)/($AC27^2+$AD27^2)</f>
        <v>3.76470473</v>
      </c>
      <c r="AX27" s="182">
        <f t="shared" ref="AX27:AX28" si="66">-($AN27*$AC27-$AM27*$AD27)/($AC27^2+$AD27^2)</f>
        <v>3.868808164</v>
      </c>
      <c r="AY27" s="182">
        <f t="shared" ref="AY27:AY28" si="67">SQRT(AW27^2+AX27^2)</f>
        <v>5.398210659</v>
      </c>
      <c r="AZ27" s="184">
        <f t="shared" ref="AZ27:AZ28" si="68">DEGREES(IF(AX27&lt;&gt;0,ATAN2(AW27,AX27),0))</f>
        <v>45.78133328</v>
      </c>
      <c r="BA27" s="185">
        <f t="shared" ref="BA27:BA28" si="69">AZ27*$R$26/360</f>
        <v>3.052088886</v>
      </c>
      <c r="BB27" s="181">
        <f t="shared" ref="BB27:BB28" si="70">-$AC27/($AC27^2+$AD27^2)</f>
        <v>0.983923582</v>
      </c>
      <c r="BC27" s="182">
        <f t="shared" ref="BC27:BC28" si="71">$AD27/($AC27^2+$AD27^2)</f>
        <v>-1.714442263</v>
      </c>
      <c r="BD27" s="182">
        <f t="shared" ref="BD27:BD28" si="72">SQRT(BB27^2+BC27^2)</f>
        <v>1.976718971</v>
      </c>
      <c r="BE27" s="184">
        <f t="shared" ref="BE27:BE28" si="73">DEGREES(IF(BC27&lt;&gt;0,ATAN2(BB27,BC27),0))</f>
        <v>-60.148356</v>
      </c>
      <c r="BF27" s="185">
        <f t="shared" ref="BF27:BF28" si="74">BE27*$R$26/360</f>
        <v>-4.0098904</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f>'Calcoli matriciali'!$F$14</f>
        <v>-3.557079339</v>
      </c>
      <c r="Y28" s="182">
        <f>'Calcoli matriciali'!$G$14</f>
        <v>4.716052943</v>
      </c>
      <c r="Z28" s="182">
        <f t="shared" si="48"/>
        <v>5.907111713</v>
      </c>
      <c r="AA28" s="184">
        <f t="shared" si="49"/>
        <v>127.0253967</v>
      </c>
      <c r="AB28" s="225">
        <f t="shared" si="50"/>
        <v>8.468359779</v>
      </c>
      <c r="AC28" s="181">
        <f>'Calcoli matriciali'!$H$14</f>
        <v>0.3828749175</v>
      </c>
      <c r="AD28" s="182">
        <f>'Calcoli matriciali'!$I$14</f>
        <v>-1.345536073</v>
      </c>
      <c r="AE28" s="182">
        <f t="shared" si="51"/>
        <v>1.398949794</v>
      </c>
      <c r="AF28" s="184">
        <f t="shared" si="52"/>
        <v>-74.11619357</v>
      </c>
      <c r="AG28" s="185">
        <f t="shared" si="53"/>
        <v>-4.941079571</v>
      </c>
      <c r="AH28" s="181">
        <f>'Calcoli matriciali'!$F$16</f>
        <v>27.19233036</v>
      </c>
      <c r="AI28" s="182">
        <f>'Calcoli matriciali'!$G$16</f>
        <v>-8.617686132</v>
      </c>
      <c r="AJ28" s="182">
        <f t="shared" si="54"/>
        <v>28.52520543</v>
      </c>
      <c r="AK28" s="184">
        <f t="shared" si="55"/>
        <v>-17.58424461</v>
      </c>
      <c r="AL28" s="185">
        <f t="shared" si="56"/>
        <v>-1.172282974</v>
      </c>
      <c r="AM28" s="186">
        <f>'Calcoli matriciali'!$H$16</f>
        <v>-5.372210686</v>
      </c>
      <c r="AN28" s="182">
        <f>'Calcoli matriciali'!$I$16</f>
        <v>4.091032518</v>
      </c>
      <c r="AO28" s="182">
        <f t="shared" si="57"/>
        <v>6.75256949</v>
      </c>
      <c r="AP28" s="90">
        <f t="shared" si="58"/>
        <v>142.7100928</v>
      </c>
      <c r="AQ28" s="185">
        <f t="shared" si="59"/>
        <v>9.514006186</v>
      </c>
      <c r="AR28" s="181">
        <f t="shared" si="60"/>
        <v>3.93832266</v>
      </c>
      <c r="AS28" s="182">
        <f t="shared" si="61"/>
        <v>1.522957591</v>
      </c>
      <c r="AT28" s="227">
        <f t="shared" si="62"/>
        <v>4.222533031</v>
      </c>
      <c r="AU28" s="218">
        <f t="shared" si="63"/>
        <v>21.14159025</v>
      </c>
      <c r="AV28" s="228">
        <f t="shared" si="64"/>
        <v>1.40943935</v>
      </c>
      <c r="AW28" s="181">
        <f t="shared" si="65"/>
        <v>3.863711139</v>
      </c>
      <c r="AX28" s="182">
        <f t="shared" si="66"/>
        <v>2.893190812</v>
      </c>
      <c r="AY28" s="227">
        <f t="shared" si="67"/>
        <v>4.826884796</v>
      </c>
      <c r="AZ28" s="218">
        <f t="shared" si="68"/>
        <v>36.82628636</v>
      </c>
      <c r="BA28" s="228">
        <f t="shared" si="69"/>
        <v>2.455085757</v>
      </c>
      <c r="BB28" s="181">
        <f t="shared" si="70"/>
        <v>-0.1956377499</v>
      </c>
      <c r="BC28" s="182">
        <f t="shared" si="71"/>
        <v>-0.6875291057</v>
      </c>
      <c r="BD28" s="227">
        <f t="shared" si="72"/>
        <v>0.7148219361</v>
      </c>
      <c r="BE28" s="218">
        <f t="shared" si="73"/>
        <v>-105.8838064</v>
      </c>
      <c r="BF28" s="228">
        <f t="shared" si="74"/>
        <v>-7.058920429</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-7.058920429</v>
      </c>
      <c r="L30" s="230">
        <f>$BD$28</f>
        <v>0.7148219361</v>
      </c>
      <c r="M30" s="231"/>
      <c r="N30" s="217">
        <f>$M$17/1000</f>
        <v>273.64</v>
      </c>
      <c r="O30" s="218">
        <f t="shared" ref="O30:P30" si="75">O$17/$K$26/1000</f>
        <v>132.769363</v>
      </c>
      <c r="P30" s="219">
        <f t="shared" si="75"/>
        <v>140.870637</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f>$K$26*$BD$28</f>
        <v>0.4501734928</v>
      </c>
      <c r="M33" s="233"/>
      <c r="N33" s="18"/>
      <c r="O33" s="18"/>
      <c r="P33" s="18"/>
      <c r="Q33" s="18"/>
      <c r="R33" s="18"/>
      <c r="S33" s="222"/>
      <c r="T33" s="234"/>
      <c r="U33" s="234"/>
      <c r="V33" s="223" t="s">
        <v>156</v>
      </c>
      <c r="W33" s="224"/>
      <c r="X33" s="181">
        <f>'Calcoli matriciali'!$J$20</f>
        <v>-0.7495145248</v>
      </c>
      <c r="Y33" s="182">
        <f>'Calcoli matriciali'!$K$20</f>
        <v>2.626025876</v>
      </c>
      <c r="Z33" s="182">
        <f t="shared" ref="Z33:Z34" si="76">SQRT(X33^2+Y33^2)</f>
        <v>2.730894345</v>
      </c>
      <c r="AA33" s="184">
        <f t="shared" ref="AA33:AA34" si="77">DEGREES(IF(Y33&lt;&gt;0,ATAN2(X33,Y33),0))</f>
        <v>105.9296893</v>
      </c>
      <c r="AB33" s="225">
        <f t="shared" ref="AB33:AB34" si="78">AA33*$R$26/360</f>
        <v>7.061979286</v>
      </c>
      <c r="AC33" s="181">
        <f>'Calcoli matriciali'!$L$20</f>
        <v>-0.2518091512</v>
      </c>
      <c r="AD33" s="182">
        <f>'Calcoli matriciali'!$M$20</f>
        <v>-0.4387660373</v>
      </c>
      <c r="AE33" s="182">
        <f t="shared" ref="AE33:AE34" si="79">SQRT(AC33^2+AD33^2)</f>
        <v>0.5058888061</v>
      </c>
      <c r="AF33" s="184">
        <f t="shared" ref="AF33:AF34" si="80">DEGREES(IF(AD33&lt;&gt;0,ATAN2(AC33,AD33),0))</f>
        <v>-119.851644</v>
      </c>
      <c r="AG33" s="185">
        <f t="shared" ref="AG33:AG34" si="81">AF33*$R$26/360</f>
        <v>-7.9901096</v>
      </c>
      <c r="AH33" s="181">
        <f>'Calcoli matriciali'!$J$22</f>
        <v>27.19233036</v>
      </c>
      <c r="AI33" s="182">
        <f>'Calcoli matriciali'!$K$22</f>
        <v>-8.617686132</v>
      </c>
      <c r="AJ33" s="182">
        <f t="shared" ref="AJ33:AJ34" si="82">SQRT(AH33^2+AI33^2)</f>
        <v>28.52520543</v>
      </c>
      <c r="AK33" s="184">
        <f t="shared" ref="AK33:AK34" si="83">DEGREES(IF(AI33&lt;&gt;0,ATAN2(AH33,AI33),0))</f>
        <v>-17.58424461</v>
      </c>
      <c r="AL33" s="185">
        <f t="shared" ref="AL33:AL34" si="84">AK33*$R$26/360</f>
        <v>-1.172282974</v>
      </c>
      <c r="AM33" s="186">
        <f>'Calcoli matriciali'!$L$22</f>
        <v>-2.469386125</v>
      </c>
      <c r="AN33" s="182">
        <f>'Calcoli matriciali'!$M$22</f>
        <v>4.371345498</v>
      </c>
      <c r="AO33" s="182">
        <f t="shared" ref="AO33:AO34" si="85">SQRT(AM33^2+AN33^2)</f>
        <v>5.020610451</v>
      </c>
      <c r="AP33" s="90">
        <f t="shared" ref="AP33:AP34" si="86">DEGREES(IF(AN33&lt;&gt;0,ATAN2(AM33,AN33),0))</f>
        <v>119.4622347</v>
      </c>
      <c r="AQ33" s="185">
        <f t="shared" ref="AQ33:AQ34" si="87">AP33*$R$26/360</f>
        <v>7.964148977</v>
      </c>
      <c r="AR33" s="181">
        <f t="shared" ref="AR33:AR34" si="88">-($AM33*$AC33+$AN33*$AD33)/($AC33^2+$AD33^2)</f>
        <v>5.064732227</v>
      </c>
      <c r="AS33" s="182">
        <f t="shared" ref="AS33:AS34" si="89">-($AN33*$AC33-$AM33*$AD33)/($AC33^2+$AD33^2)</f>
        <v>8.534689857</v>
      </c>
      <c r="AT33" s="182">
        <f t="shared" ref="AT33:AT34" si="90">SQRT(AR33^2+AS33^2)</f>
        <v>9.924335922</v>
      </c>
      <c r="AU33" s="90">
        <f t="shared" ref="AU33:AU34" si="91">DEGREES(IF(AS33&lt;&gt;0,ATAN2(AR33,AS33),0))</f>
        <v>59.31387865</v>
      </c>
      <c r="AV33" s="185">
        <f t="shared" ref="AV33:AV34" si="92">AU33*$R$26/360</f>
        <v>3.954258577</v>
      </c>
      <c r="AW33" s="181">
        <f t="shared" ref="AW33:AW34" si="93">-($X33*$AC33+$Y33*$AD33)/($AC33^2+$AD33^2)</f>
        <v>3.76470473</v>
      </c>
      <c r="AX33" s="182">
        <f t="shared" ref="AX33:AX34" si="94">-($Y33*$AC33-$X33*$AD33)/($AC33^2+$AD33^2)</f>
        <v>3.868808164</v>
      </c>
      <c r="AY33" s="182">
        <f t="shared" ref="AY33:AY34" si="95">SQRT(AW33^2+AX33^2)</f>
        <v>5.398210659</v>
      </c>
      <c r="AZ33" s="184">
        <f t="shared" ref="AZ33:AZ34" si="96">DEGREES(IF(AX33&lt;&gt;0,ATAN2(AW33,AX33),0))</f>
        <v>45.78133328</v>
      </c>
      <c r="BA33" s="185">
        <f t="shared" ref="BA33:BA34" si="97">AZ33*$R$26/360</f>
        <v>3.052088886</v>
      </c>
      <c r="BB33" s="181">
        <f t="shared" ref="BB33:BB34" si="98">-$AC33/($AC33^2+$AD33^2)</f>
        <v>0.983923582</v>
      </c>
      <c r="BC33" s="182">
        <f t="shared" ref="BC33:BC34" si="99">$AD33/($AC33^2+$AD33^2)</f>
        <v>-1.714442263</v>
      </c>
      <c r="BD33" s="182">
        <f t="shared" ref="BD33:BD34" si="100">SQRT(BB33^2+BC33^2)</f>
        <v>1.976718971</v>
      </c>
      <c r="BE33" s="184">
        <f t="shared" ref="BE33:BE34" si="101">DEGREES(IF(BC33&lt;&gt;0,ATAN2(BB33,BC33),0))</f>
        <v>-60.148356</v>
      </c>
      <c r="BF33" s="185">
        <f t="shared" ref="BF33:BF34" si="102">BE33*$R$26/360</f>
        <v>-4.0098904</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f>'Calcoli matriciali'!$AT$25</f>
        <v>-5.372210686</v>
      </c>
      <c r="Y34" s="182">
        <f>'Calcoli matriciali'!$AU$25</f>
        <v>4.091032518</v>
      </c>
      <c r="Z34" s="182">
        <f t="shared" si="76"/>
        <v>6.75256949</v>
      </c>
      <c r="AA34" s="184">
        <f t="shared" si="77"/>
        <v>142.7100928</v>
      </c>
      <c r="AB34" s="225">
        <f t="shared" si="78"/>
        <v>9.514006186</v>
      </c>
      <c r="AC34" s="181">
        <f>'Calcoli matriciali'!$AV$25</f>
        <v>0.3828749175</v>
      </c>
      <c r="AD34" s="182">
        <f>'Calcoli matriciali'!$AW$25</f>
        <v>-1.345536073</v>
      </c>
      <c r="AE34" s="182">
        <f t="shared" si="79"/>
        <v>1.398949794</v>
      </c>
      <c r="AF34" s="184">
        <f t="shared" si="80"/>
        <v>-74.11619357</v>
      </c>
      <c r="AG34" s="185">
        <f t="shared" si="81"/>
        <v>-4.941079571</v>
      </c>
      <c r="AH34" s="181">
        <f>'Calcoli matriciali'!$AT$27</f>
        <v>27.19233036</v>
      </c>
      <c r="AI34" s="182">
        <f>'Calcoli matriciali'!$AU$27</f>
        <v>-8.617686132</v>
      </c>
      <c r="AJ34" s="182">
        <f t="shared" si="82"/>
        <v>28.52520543</v>
      </c>
      <c r="AK34" s="184">
        <f t="shared" si="83"/>
        <v>-17.58424461</v>
      </c>
      <c r="AL34" s="185">
        <f t="shared" si="84"/>
        <v>-1.172282974</v>
      </c>
      <c r="AM34" s="186">
        <f>'Calcoli matriciali'!$AV$27</f>
        <v>-3.557079339</v>
      </c>
      <c r="AN34" s="182">
        <f>'Calcoli matriciali'!$AW$27</f>
        <v>4.716052943</v>
      </c>
      <c r="AO34" s="182">
        <f t="shared" si="85"/>
        <v>5.907111713</v>
      </c>
      <c r="AP34" s="90">
        <f t="shared" si="86"/>
        <v>127.0253967</v>
      </c>
      <c r="AQ34" s="185">
        <f t="shared" si="87"/>
        <v>8.468359779</v>
      </c>
      <c r="AR34" s="181">
        <f t="shared" si="88"/>
        <v>3.93832266</v>
      </c>
      <c r="AS34" s="182">
        <f t="shared" si="89"/>
        <v>1.522957591</v>
      </c>
      <c r="AT34" s="227">
        <f t="shared" si="90"/>
        <v>4.222533031</v>
      </c>
      <c r="AU34" s="235">
        <f t="shared" si="91"/>
        <v>21.14159025</v>
      </c>
      <c r="AV34" s="228">
        <f t="shared" si="92"/>
        <v>1.40943935</v>
      </c>
      <c r="AW34" s="181">
        <f t="shared" si="93"/>
        <v>3.863711139</v>
      </c>
      <c r="AX34" s="182">
        <f t="shared" si="94"/>
        <v>2.893190812</v>
      </c>
      <c r="AY34" s="227">
        <f t="shared" si="95"/>
        <v>4.826884796</v>
      </c>
      <c r="AZ34" s="218">
        <f t="shared" si="96"/>
        <v>36.82628636</v>
      </c>
      <c r="BA34" s="228">
        <f t="shared" si="97"/>
        <v>2.455085757</v>
      </c>
      <c r="BB34" s="181">
        <f t="shared" si="98"/>
        <v>-0.1956377499</v>
      </c>
      <c r="BC34" s="182">
        <f t="shared" si="99"/>
        <v>-0.6875291057</v>
      </c>
      <c r="BD34" s="227">
        <f t="shared" si="100"/>
        <v>0.7148219361</v>
      </c>
      <c r="BE34" s="218">
        <f t="shared" si="101"/>
        <v>-105.8838064</v>
      </c>
      <c r="BF34" s="228">
        <f t="shared" si="102"/>
        <v>-7.058920429</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f>1/ABS($AS$40)/$S$26/1000</f>
        <v>160.9875071</v>
      </c>
      <c r="D37" s="237">
        <f>1/ABS($AS$52)/$S$26/1000</f>
        <v>136.7074699</v>
      </c>
      <c r="E37" s="238">
        <f>$AT$46/$S$26/1000</f>
        <v>64.46248044</v>
      </c>
      <c r="F37" s="18"/>
      <c r="G37" s="18"/>
      <c r="H37" s="18"/>
      <c r="I37" s="18"/>
      <c r="J37" s="18"/>
      <c r="K37" s="229">
        <f>$AV$28</f>
        <v>1.40943935</v>
      </c>
      <c r="L37" s="230">
        <f>$AT$28</f>
        <v>4.222533031</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f t="shared" ref="AR39:AR40" si="103">AR27/(AR27^2+AS27^2)</f>
        <v>0.05142254621</v>
      </c>
      <c r="AS39" s="227">
        <f t="shared" ref="AS39:AS40" si="104">-AS27/(AR27^2+AS27^2)</f>
        <v>-0.08665324521</v>
      </c>
      <c r="AT39" s="182">
        <f t="shared" ref="AT39:AT40" si="105">SQRT(AR39^2+AS39^2)</f>
        <v>0.1007624095</v>
      </c>
      <c r="AU39" s="184">
        <f t="shared" ref="AU39:AU40" si="106">DEGREES(IF(AS39&lt;&gt;0,ATAN2(AR39,AS39),0))</f>
        <v>-59.31387865</v>
      </c>
      <c r="AV39" s="185">
        <f t="shared" ref="AV39:AV40" si="107">AU39*$R$26/360</f>
        <v>-3.954258577</v>
      </c>
      <c r="AW39" s="239">
        <f t="shared" ref="AW39:AW40" si="108">AW27/(AW27^2+AX27^2)</f>
        <v>0.1291907034</v>
      </c>
      <c r="AX39" s="227">
        <f t="shared" ref="AX39:AX40" si="109">-AX27/(AW27^2+AX27^2)</f>
        <v>-0.1327631472</v>
      </c>
      <c r="AY39" s="182">
        <f t="shared" ref="AY39:AY40" si="110">SQRT(AW39^2+AX39^2)</f>
        <v>0.1852465684</v>
      </c>
      <c r="AZ39" s="184">
        <f t="shared" ref="AZ39:AZ40" si="111">DEGREES(IF(AX39&lt;&gt;0,ATAN2(AW39,AX39),0))</f>
        <v>-45.78133328</v>
      </c>
      <c r="BA39" s="185">
        <f t="shared" ref="BA39:BA40" si="112">AZ39*$R$26/360</f>
        <v>-3.052088886</v>
      </c>
      <c r="BB39" s="18"/>
      <c r="BC39" s="18"/>
      <c r="BD39" s="18"/>
      <c r="BE39" s="18"/>
      <c r="BF39" s="18"/>
      <c r="BG39" s="18"/>
      <c r="BH39" s="18"/>
    </row>
    <row r="40" ht="13.5" customHeight="1">
      <c r="A40" s="18"/>
      <c r="B40" s="18"/>
      <c r="C40" s="18"/>
      <c r="D40" s="18"/>
      <c r="E40" s="18"/>
      <c r="F40" s="18"/>
      <c r="G40" s="18"/>
      <c r="H40" s="18"/>
      <c r="I40" s="18"/>
      <c r="J40" s="18"/>
      <c r="K40" s="18"/>
      <c r="L40" s="240">
        <f>$K$26*$AT$28</f>
        <v>2.659225112</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f t="shared" si="103"/>
        <v>0.2208844703</v>
      </c>
      <c r="AS40" s="227">
        <f t="shared" si="104"/>
        <v>-0.08541648561</v>
      </c>
      <c r="AT40" s="227">
        <f t="shared" si="105"/>
        <v>0.236824672</v>
      </c>
      <c r="AU40" s="218">
        <f t="shared" si="106"/>
        <v>-21.14159025</v>
      </c>
      <c r="AV40" s="228">
        <f t="shared" si="107"/>
        <v>-1.40943935</v>
      </c>
      <c r="AW40" s="239">
        <f t="shared" si="108"/>
        <v>0.1658329333</v>
      </c>
      <c r="AX40" s="227">
        <f t="shared" si="109"/>
        <v>-0.1241775851</v>
      </c>
      <c r="AY40" s="227">
        <f t="shared" si="110"/>
        <v>0.2071729578</v>
      </c>
      <c r="AZ40" s="218">
        <f t="shared" si="111"/>
        <v>-36.82628636</v>
      </c>
      <c r="BA40" s="228">
        <f t="shared" si="112"/>
        <v>-2.455085757</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f>1/ABS($AX$40)/$S$26/1000</f>
        <v>110.7364672</v>
      </c>
      <c r="D44" s="237">
        <f>1/ABS($AX$52)/$S$26/1000</f>
        <v>112.5198628</v>
      </c>
      <c r="E44" s="238">
        <f>$AY$46/$S$26/1000</f>
        <v>74.43320335</v>
      </c>
      <c r="F44" s="18"/>
      <c r="G44" s="18"/>
      <c r="H44" s="18"/>
      <c r="I44" s="18"/>
      <c r="J44" s="18"/>
      <c r="K44" s="229">
        <f>$BA$28</f>
        <v>2.455085757</v>
      </c>
      <c r="L44" s="230">
        <f>$AY$28</f>
        <v>4.826884796</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f t="shared" ref="AR45:AR46" si="113">AR27-$BB27</f>
        <v>4.080808645</v>
      </c>
      <c r="AS45" s="227">
        <f t="shared" ref="AS45:AS46" si="114">AS27-$BC27</f>
        <v>10.24913212</v>
      </c>
      <c r="AT45" s="182">
        <f t="shared" ref="AT45:AT46" si="115">SQRT(AR45^2+AS45^2)</f>
        <v>11.03166843</v>
      </c>
      <c r="AU45" s="184">
        <f t="shared" ref="AU45:AU46" si="116">DEGREES(IF(AS45&lt;&gt;0,ATAN2(AR45,AS45),0))</f>
        <v>68.28946258</v>
      </c>
      <c r="AV45" s="185">
        <f t="shared" ref="AV45:AV46" si="117">AU45*$R$26/360</f>
        <v>4.552630839</v>
      </c>
      <c r="AW45" s="239">
        <f t="shared" ref="AW45:AW46" si="118">AW27-$BB27</f>
        <v>2.780781148</v>
      </c>
      <c r="AX45" s="227">
        <f t="shared" ref="AX45:AX46" si="119">AX27-$BC27</f>
        <v>5.583250428</v>
      </c>
      <c r="AY45" s="182">
        <f t="shared" ref="AY45:AY46" si="120">SQRT(AW45^2+AX45^2)</f>
        <v>6.237421673</v>
      </c>
      <c r="AZ45" s="184">
        <f t="shared" ref="AZ45:AZ46" si="121">DEGREES(IF(AX45&lt;&gt;0,ATAN2(AW45,AX45),0))</f>
        <v>63.52404413</v>
      </c>
      <c r="BA45" s="185">
        <f t="shared" ref="BA45:BA46" si="122">AZ45*$R$26/360</f>
        <v>4.234936276</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f t="shared" si="113"/>
        <v>4.13396041</v>
      </c>
      <c r="AS46" s="227">
        <f t="shared" si="114"/>
        <v>2.210486697</v>
      </c>
      <c r="AT46" s="227">
        <f t="shared" si="115"/>
        <v>4.687843866</v>
      </c>
      <c r="AU46" s="218">
        <f t="shared" si="116"/>
        <v>28.13404168</v>
      </c>
      <c r="AV46" s="228">
        <f t="shared" si="117"/>
        <v>1.875602779</v>
      </c>
      <c r="AW46" s="239">
        <f t="shared" si="118"/>
        <v>4.059348889</v>
      </c>
      <c r="AX46" s="227">
        <f t="shared" si="119"/>
        <v>3.580719917</v>
      </c>
      <c r="AY46" s="227">
        <f t="shared" si="120"/>
        <v>5.412935297</v>
      </c>
      <c r="AZ46" s="218">
        <f t="shared" si="121"/>
        <v>41.41526419</v>
      </c>
      <c r="BA46" s="228">
        <f t="shared" si="122"/>
        <v>2.761017612</v>
      </c>
      <c r="BB46" s="18"/>
      <c r="BC46" s="18"/>
      <c r="BD46" s="18"/>
      <c r="BE46" s="18"/>
      <c r="BF46" s="18"/>
      <c r="BG46" s="18"/>
      <c r="BH46" s="18"/>
    </row>
    <row r="47" ht="13.5" customHeight="1">
      <c r="A47" s="18"/>
      <c r="B47" s="18"/>
      <c r="C47" s="18"/>
      <c r="D47" s="18"/>
      <c r="E47" s="18"/>
      <c r="F47" s="18"/>
      <c r="G47" s="18"/>
      <c r="H47" s="18"/>
      <c r="I47" s="18"/>
      <c r="J47" s="18"/>
      <c r="K47" s="18"/>
      <c r="L47" s="240">
        <f>$K$26*$AY$28</f>
        <v>3.039827793</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f t="shared" ref="AR51:AR52" si="123">AR45/(AR45^2+AS45^2)</f>
        <v>0.03353233761</v>
      </c>
      <c r="AS51" s="227">
        <f t="shared" ref="AS51:AS52" si="124">-AS45/(AR45^2+AS45^2)</f>
        <v>-0.08421795491</v>
      </c>
      <c r="AT51" s="182">
        <f t="shared" ref="AT51:AT52" si="125">SQRT(AR51^2+AS51^2)</f>
        <v>0.09064811964</v>
      </c>
      <c r="AU51" s="184">
        <f t="shared" ref="AU51:AU52" si="126">DEGREES(IF(AS51&lt;&gt;0,ATAN2(AR51,AS51),0))</f>
        <v>-68.28946258</v>
      </c>
      <c r="AV51" s="185">
        <f t="shared" ref="AV51:AV52" si="127">AU51*$R$26/360</f>
        <v>-4.552630839</v>
      </c>
      <c r="AW51" s="239">
        <f t="shared" ref="AW51:AW52" si="128">AW45/(AW45^2+AX45^2)</f>
        <v>0.07147540099</v>
      </c>
      <c r="AX51" s="227">
        <f t="shared" ref="AX51:AX52" si="129">-AX45/(AW45^2+AX45^2)</f>
        <v>-0.1435082597</v>
      </c>
      <c r="AY51" s="182">
        <f t="shared" ref="AY51:AY52" si="130">SQRT(AW51^2+AX51^2)</f>
        <v>0.1603226545</v>
      </c>
      <c r="AZ51" s="184">
        <f t="shared" ref="AZ51:AZ52" si="131">DEGREES(IF(AX51&lt;&gt;0,ATAN2(AW51,AX51),0))</f>
        <v>-63.52404413</v>
      </c>
      <c r="BA51" s="185">
        <f t="shared" ref="BA51:BA52" si="132">AZ51*$R$26/360</f>
        <v>-4.234936276</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f t="shared" si="123"/>
        <v>0.1881135313</v>
      </c>
      <c r="AS52" s="227">
        <f t="shared" si="124"/>
        <v>-0.1005869474</v>
      </c>
      <c r="AT52" s="227">
        <f t="shared" si="125"/>
        <v>0.2133176848</v>
      </c>
      <c r="AU52" s="218">
        <f t="shared" si="126"/>
        <v>-28.13404168</v>
      </c>
      <c r="AV52" s="228">
        <f t="shared" si="127"/>
        <v>-1.875602779</v>
      </c>
      <c r="AW52" s="239">
        <f t="shared" si="128"/>
        <v>0.1385449523</v>
      </c>
      <c r="AX52" s="227">
        <f t="shared" si="129"/>
        <v>-0.1222094193</v>
      </c>
      <c r="AY52" s="227">
        <f t="shared" si="130"/>
        <v>0.184742648</v>
      </c>
      <c r="AZ52" s="218">
        <f t="shared" si="131"/>
        <v>-41.41526419</v>
      </c>
      <c r="BA52" s="228">
        <f t="shared" si="132"/>
        <v>-2.761017612</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0.3304851478</v>
      </c>
      <c r="AS57" s="227">
        <f>-$K$21*AS28</f>
        <v>-0.2589027905</v>
      </c>
      <c r="AT57" s="227">
        <f>SQRT(AR57^2+AS57^2)</f>
        <v>0.4198226861</v>
      </c>
      <c r="AU57" s="218">
        <f>DEGREES(IF(AS57&lt;&gt;0,ATAN2(AR57,AS57),0))</f>
        <v>-38.07522695</v>
      </c>
      <c r="AV57" s="228">
        <f>AU57*$R$26/360</f>
        <v>-2.538348463</v>
      </c>
      <c r="AW57" s="239">
        <f>1-$K$22*AW28</f>
        <v>0.8454515544</v>
      </c>
      <c r="AX57" s="227">
        <f>-$K$22*AX28</f>
        <v>-0.1157276325</v>
      </c>
      <c r="AY57" s="227">
        <f>SQRT(AW57^2+AX57^2)</f>
        <v>0.8533353478</v>
      </c>
      <c r="AZ57" s="218">
        <f>DEGREES(IF(AX57&lt;&gt;0,ATAN2(AW57,AX57),0))</f>
        <v>-7.794357293</v>
      </c>
      <c r="BA57" s="228">
        <f>AZ57*$R$26/360</f>
        <v>-0.5196238195</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0.2972267303</v>
      </c>
      <c r="AS62" s="227">
        <f>-$K$21*AS46</f>
        <v>-0.3757827384</v>
      </c>
      <c r="AT62" s="227">
        <f>SQRT(AR62^2+AS62^2)</f>
        <v>0.4791204397</v>
      </c>
      <c r="AU62" s="218">
        <f>DEGREES(IF(AS62&lt;&gt;0,ATAN2(AR62,AS62),0))</f>
        <v>-51.65763655</v>
      </c>
      <c r="AV62" s="228">
        <f>AU62*$R$26/360</f>
        <v>-3.443842437</v>
      </c>
      <c r="AW62" s="239">
        <f>1-$K$22*AW46</f>
        <v>0.8376260444</v>
      </c>
      <c r="AX62" s="227">
        <f>-$K$22*AX46</f>
        <v>-0.1432287967</v>
      </c>
      <c r="AY62" s="227">
        <f>SQRT(AW62^2+AX62^2)</f>
        <v>0.8497834304</v>
      </c>
      <c r="AZ62" s="218">
        <f>DEGREES(IF(AX62&lt;&gt;0,ATAN2(AW62,AX62),0))</f>
        <v>-9.70337317</v>
      </c>
      <c r="BA62" s="228">
        <f>AZ62*$R$26/360</f>
        <v>-0.6468915447</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-0.17</v>
      </c>
      <c r="G3" s="250">
        <f>'Calcoli componente'!$AD$21</f>
        <v>0</v>
      </c>
      <c r="H3" s="248">
        <f>'Calcoli componente'!$X$7</f>
        <v>0.999991775</v>
      </c>
      <c r="I3" s="249">
        <f>'Calcoli componente'!$Y$7</f>
        <v>0.007024946387</v>
      </c>
      <c r="J3" s="249">
        <f>'Calcoli componente'!$AC$7</f>
        <v>-0.00999998355</v>
      </c>
      <c r="K3" s="250">
        <f>'Calcoli componente'!$AD$7</f>
        <v>-0.00002341649529</v>
      </c>
      <c r="L3" s="248">
        <f>'Calcoli componente'!$X$8</f>
        <v>0.9968297704</v>
      </c>
      <c r="M3" s="249">
        <f>'Calcoli componente'!$Y$8</f>
        <v>0.1378919831</v>
      </c>
      <c r="N3" s="249">
        <f>'Calcoli componente'!$AC$8</f>
        <v>-0.04307611816</v>
      </c>
      <c r="O3" s="250">
        <f>'Calcoli componente'!$AD$8</f>
        <v>-0.001981445982</v>
      </c>
      <c r="P3" s="248">
        <f>'Calcoli componente'!$X$9</f>
        <v>0.1900710033</v>
      </c>
      <c r="Q3" s="249">
        <f>'Calcoli componente'!$Y$9</f>
        <v>2.096765933</v>
      </c>
      <c r="R3" s="249">
        <f>'Calcoli componente'!$AC$9</f>
        <v>-0.306959891</v>
      </c>
      <c r="S3" s="250">
        <f>'Calcoli componente'!$AD$9</f>
        <v>-0.2646904845</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-0.17</v>
      </c>
      <c r="H4" s="248">
        <f>-'Calcoli componente'!$Y$7</f>
        <v>-0.007024946387</v>
      </c>
      <c r="I4" s="249">
        <f>'Calcoli componente'!$X$7</f>
        <v>0.999991775</v>
      </c>
      <c r="J4" s="249">
        <f>-'Calcoli componente'!$AD$7</f>
        <v>0.00002341649529</v>
      </c>
      <c r="K4" s="250">
        <f>'Calcoli componente'!$AC$7</f>
        <v>-0.00999998355</v>
      </c>
      <c r="L4" s="248">
        <f>-'Calcoli componente'!$Y$8</f>
        <v>-0.1378919831</v>
      </c>
      <c r="M4" s="249">
        <f>'Calcoli componente'!$X$8</f>
        <v>0.9968297704</v>
      </c>
      <c r="N4" s="249">
        <f>-'Calcoli componente'!$AD$8</f>
        <v>0.001981445982</v>
      </c>
      <c r="O4" s="250">
        <f>'Calcoli componente'!$AC$8</f>
        <v>-0.04307611816</v>
      </c>
      <c r="P4" s="248">
        <f>-'Calcoli componente'!$Y$9</f>
        <v>-2.096765933</v>
      </c>
      <c r="Q4" s="249">
        <f>'Calcoli componente'!$X$9</f>
        <v>0.1900710033</v>
      </c>
      <c r="R4" s="249">
        <f>-'Calcoli componente'!$AD$9</f>
        <v>0.2646904845</v>
      </c>
      <c r="S4" s="250">
        <f>'Calcoli componente'!$AC$9</f>
        <v>-0.306959891</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0.003289994284</v>
      </c>
      <c r="I5" s="249">
        <f>'Calcoli componente'!$AI$7</f>
        <v>-1.404987737</v>
      </c>
      <c r="J5" s="249">
        <f>'Calcoli componente'!$AM$7</f>
        <v>0.999991775</v>
      </c>
      <c r="K5" s="250">
        <f>'Calcoli componente'!$AN$7</f>
        <v>0.007024946387</v>
      </c>
      <c r="L5" s="248">
        <f>'Calcoli componente'!$AH$8</f>
        <v>0.2941839806</v>
      </c>
      <c r="M5" s="249">
        <f>'Calcoli componente'!$AI$8</f>
        <v>-6.395482906</v>
      </c>
      <c r="N5" s="249">
        <f>'Calcoli componente'!$AM$8</f>
        <v>0.9968297704</v>
      </c>
      <c r="O5" s="250">
        <f>'Calcoli componente'!$AN$8</f>
        <v>0.1378919831</v>
      </c>
      <c r="P5" s="248">
        <f>'Calcoli componente'!$AH$9</f>
        <v>8.731271657</v>
      </c>
      <c r="Q5" s="249">
        <f>'Calcoli componente'!$AI$9</f>
        <v>-10.12560085</v>
      </c>
      <c r="R5" s="249">
        <f>'Calcoli componente'!$AM$9</f>
        <v>0.1900710033</v>
      </c>
      <c r="S5" s="250">
        <f>'Calcoli componente'!$AN$9</f>
        <v>2.096765933</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1.404987737</v>
      </c>
      <c r="I6" s="254">
        <f>'Calcoli componente'!$AH$7</f>
        <v>0.003289994284</v>
      </c>
      <c r="J6" s="254">
        <f>-'Calcoli componente'!$AN$7</f>
        <v>-0.007024946387</v>
      </c>
      <c r="K6" s="255">
        <f>'Calcoli componente'!$AM$7</f>
        <v>0.999991775</v>
      </c>
      <c r="L6" s="253">
        <f>-'Calcoli componente'!$AI$8</f>
        <v>6.395482906</v>
      </c>
      <c r="M6" s="254">
        <f>'Calcoli componente'!$AH$8</f>
        <v>0.2941839806</v>
      </c>
      <c r="N6" s="254">
        <f>-'Calcoli componente'!$AN$8</f>
        <v>-0.1378919831</v>
      </c>
      <c r="O6" s="255">
        <f>'Calcoli componente'!$AM$8</f>
        <v>0.9968297704</v>
      </c>
      <c r="P6" s="253">
        <f>-'Calcoli componente'!$AI$9</f>
        <v>10.12560085</v>
      </c>
      <c r="Q6" s="254">
        <f>'Calcoli componente'!$AH$9</f>
        <v>8.731271657</v>
      </c>
      <c r="R6" s="254">
        <f>-'Calcoli componente'!$AN$9</f>
        <v>-2.096765933</v>
      </c>
      <c r="S6" s="255">
        <f>'Calcoli componente'!$AM$9</f>
        <v>0.1900710033</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f t="array" ref="J9:M12">MMULT(L3:O6,H3:K6)</f>
        <v>0.9929272602</v>
      </c>
      <c r="K9" s="249">
        <v>0.205408423441557</v>
      </c>
      <c r="L9" s="249">
        <v>-0.05302689666738242</v>
      </c>
      <c r="M9" s="250">
        <v>-0.003686296927645822</v>
      </c>
      <c r="N9" s="248">
        <f t="array" ref="N9:Q12">MMULT(P3:S6,J9:M12)</f>
        <v>-2.469386125</v>
      </c>
      <c r="O9" s="249">
        <v>4.37134549786908</v>
      </c>
      <c r="P9" s="249">
        <v>-0.25180915120685854</v>
      </c>
      <c r="Q9" s="250">
        <v>-0.43876603729032293</v>
      </c>
      <c r="R9" s="248">
        <f t="array" ref="R9:U12">MMULT(T3:W6,N9:Q12)</f>
        <v>-2.469386125</v>
      </c>
      <c r="S9" s="249">
        <v>4.37134549786908</v>
      </c>
      <c r="T9" s="249">
        <v>-0.25180915120685854</v>
      </c>
      <c r="U9" s="250">
        <v>-0.43876603729032293</v>
      </c>
      <c r="V9" s="248">
        <f t="array" ref="V9:Y12">MMULT(X3:AA6,R9:U12)</f>
        <v>-2.469386125</v>
      </c>
      <c r="W9" s="249">
        <v>4.37134549786908</v>
      </c>
      <c r="X9" s="249">
        <v>-0.25180915120685854</v>
      </c>
      <c r="Y9" s="250">
        <v>-0.43876603729032293</v>
      </c>
      <c r="Z9" s="248">
        <f t="array" ref="Z9:AC12">MMULT(AB3:AE6,V9:Y12)</f>
        <v>-2.469386125</v>
      </c>
      <c r="AA9" s="249">
        <v>4.37134549786908</v>
      </c>
      <c r="AB9" s="249">
        <v>-0.25180915120685854</v>
      </c>
      <c r="AC9" s="250">
        <v>-0.43876603729032293</v>
      </c>
      <c r="AD9" s="248">
        <f t="array" ref="AD9:AG12">MMULT(AF3:AI6,Z9:AC12)</f>
        <v>-2.469386125</v>
      </c>
      <c r="AE9" s="249">
        <v>4.37134549786908</v>
      </c>
      <c r="AF9" s="249">
        <v>-0.25180915120685854</v>
      </c>
      <c r="AG9" s="250">
        <v>-0.43876603729032293</v>
      </c>
      <c r="AH9" s="248">
        <f t="array" ref="AH9:AK12">MMULT(AJ3:AM6,AD9:AG12)</f>
        <v>-2.469386125</v>
      </c>
      <c r="AI9" s="249">
        <v>4.37134549786908</v>
      </c>
      <c r="AJ9" s="249">
        <v>-0.25180915120685854</v>
      </c>
      <c r="AK9" s="250">
        <v>-0.43876603729032293</v>
      </c>
      <c r="AL9" s="248">
        <f t="array" ref="AL9:AO12">MMULT(AN3:AQ6,AH9:AK12)</f>
        <v>-2.469386125</v>
      </c>
      <c r="AM9" s="249">
        <v>4.37134549786908</v>
      </c>
      <c r="AN9" s="249">
        <v>-0.25180915120685854</v>
      </c>
      <c r="AO9" s="250">
        <v>-0.43876603729032293</v>
      </c>
      <c r="AP9" s="267">
        <f t="array" ref="AP9:AS12">MMULT(AR3:AU6,AL9:AO12)</f>
        <v>-2.469386125</v>
      </c>
      <c r="AQ9" s="268">
        <v>4.37134549786908</v>
      </c>
      <c r="AR9" s="268">
        <v>-0.25180915120685854</v>
      </c>
      <c r="AS9" s="269">
        <v>-0.43876603729032293</v>
      </c>
      <c r="AT9" s="248">
        <f t="array" ref="AT9:AW12">MMULT(AV3:AY6,AP9:AS12)</f>
        <v>-3.557079339</v>
      </c>
      <c r="AU9" s="249">
        <v>4.716052943157843</v>
      </c>
      <c r="AV9" s="249">
        <v>-0.22182857021385113</v>
      </c>
      <c r="AW9" s="250">
        <v>-0.5438070723271957</v>
      </c>
      <c r="AX9" s="241"/>
      <c r="AY9" s="241"/>
      <c r="AZ9" s="241"/>
    </row>
    <row r="10" ht="12.75" hidden="1" customHeight="1">
      <c r="A10" s="241"/>
      <c r="B10" s="246"/>
      <c r="C10" s="261"/>
      <c r="D10" s="261"/>
      <c r="E10" s="261"/>
      <c r="F10" s="261"/>
      <c r="G10" s="261"/>
      <c r="H10" s="261"/>
      <c r="I10" s="261"/>
      <c r="J10" s="248">
        <v>-0.20540842344155702</v>
      </c>
      <c r="K10" s="249">
        <v>0.9929272602263648</v>
      </c>
      <c r="L10" s="249">
        <v>0.0036862969276458216</v>
      </c>
      <c r="M10" s="250">
        <v>-0.05302689666738242</v>
      </c>
      <c r="N10" s="248">
        <v>-4.371345497869081</v>
      </c>
      <c r="O10" s="249">
        <v>-2.469386125117003</v>
      </c>
      <c r="P10" s="249">
        <v>0.43876603729032293</v>
      </c>
      <c r="Q10" s="250">
        <v>-0.25180915120685865</v>
      </c>
      <c r="R10" s="248">
        <v>-4.371345497869081</v>
      </c>
      <c r="S10" s="249">
        <v>-2.469386125117003</v>
      </c>
      <c r="T10" s="249">
        <v>0.43876603729032293</v>
      </c>
      <c r="U10" s="250">
        <v>-0.25180915120685865</v>
      </c>
      <c r="V10" s="248">
        <v>-4.371345497869081</v>
      </c>
      <c r="W10" s="249">
        <v>-2.469386125117003</v>
      </c>
      <c r="X10" s="249">
        <v>0.43876603729032293</v>
      </c>
      <c r="Y10" s="250">
        <v>-0.25180915120685865</v>
      </c>
      <c r="Z10" s="248">
        <v>-4.371345497869081</v>
      </c>
      <c r="AA10" s="249">
        <v>-2.469386125117003</v>
      </c>
      <c r="AB10" s="249">
        <v>0.43876603729032293</v>
      </c>
      <c r="AC10" s="250">
        <v>-0.25180915120685865</v>
      </c>
      <c r="AD10" s="248">
        <v>-4.371345497869081</v>
      </c>
      <c r="AE10" s="249">
        <v>-2.469386125117003</v>
      </c>
      <c r="AF10" s="249">
        <v>0.43876603729032293</v>
      </c>
      <c r="AG10" s="250">
        <v>-0.25180915120685865</v>
      </c>
      <c r="AH10" s="248">
        <v>-4.371345497869081</v>
      </c>
      <c r="AI10" s="249">
        <v>-2.469386125117003</v>
      </c>
      <c r="AJ10" s="249">
        <v>0.43876603729032293</v>
      </c>
      <c r="AK10" s="250">
        <v>-0.25180915120685865</v>
      </c>
      <c r="AL10" s="248">
        <v>-4.371345497869081</v>
      </c>
      <c r="AM10" s="249">
        <v>-2.469386125117003</v>
      </c>
      <c r="AN10" s="249">
        <v>0.43876603729032293</v>
      </c>
      <c r="AO10" s="250">
        <v>-0.25180915120685865</v>
      </c>
      <c r="AP10" s="267">
        <v>-4.371345497869081</v>
      </c>
      <c r="AQ10" s="268">
        <v>-2.469386125117003</v>
      </c>
      <c r="AR10" s="268">
        <v>0.43876603729032293</v>
      </c>
      <c r="AS10" s="269">
        <v>-0.25180915120685865</v>
      </c>
      <c r="AT10" s="248">
        <v>-4.716052943157844</v>
      </c>
      <c r="AU10" s="249">
        <v>-3.5570793394674354</v>
      </c>
      <c r="AV10" s="249">
        <v>0.5438070723271957</v>
      </c>
      <c r="AW10" s="250">
        <v>-0.22182857021385124</v>
      </c>
      <c r="AX10" s="241"/>
      <c r="AY10" s="241"/>
      <c r="AZ10" s="241"/>
    </row>
    <row r="11" ht="13.5" customHeight="1">
      <c r="A11" s="241"/>
      <c r="B11" s="246"/>
      <c r="C11" s="261"/>
      <c r="D11" s="261"/>
      <c r="E11" s="261"/>
      <c r="F11" s="261"/>
      <c r="G11" s="261"/>
      <c r="H11" s="261"/>
      <c r="I11" s="261"/>
      <c r="J11" s="248">
        <v>0.5361255949401076</v>
      </c>
      <c r="K11" s="249">
        <v>-7.793443616054486</v>
      </c>
      <c r="L11" s="249">
        <v>0.9927612929527049</v>
      </c>
      <c r="M11" s="250">
        <v>0.2088413597302598</v>
      </c>
      <c r="N11" s="248">
        <v>27.1923303587608</v>
      </c>
      <c r="O11" s="249">
        <v>-8.617686132219061</v>
      </c>
      <c r="P11" s="249">
        <v>-0.7495145248251852</v>
      </c>
      <c r="Q11" s="250">
        <v>2.62602587592182</v>
      </c>
      <c r="R11" s="248">
        <v>27.1923303587608</v>
      </c>
      <c r="S11" s="249">
        <v>-8.617686132219061</v>
      </c>
      <c r="T11" s="249">
        <v>-0.7495145248251852</v>
      </c>
      <c r="U11" s="250">
        <v>2.62602587592182</v>
      </c>
      <c r="V11" s="248">
        <v>27.1923303587608</v>
      </c>
      <c r="W11" s="249">
        <v>-8.617686132219061</v>
      </c>
      <c r="X11" s="249">
        <v>-0.7495145248251852</v>
      </c>
      <c r="Y11" s="250">
        <v>2.62602587592182</v>
      </c>
      <c r="Z11" s="248">
        <v>27.1923303587608</v>
      </c>
      <c r="AA11" s="249">
        <v>-8.617686132219061</v>
      </c>
      <c r="AB11" s="249">
        <v>-0.7495145248251852</v>
      </c>
      <c r="AC11" s="250">
        <v>2.62602587592182</v>
      </c>
      <c r="AD11" s="248">
        <v>27.1923303587608</v>
      </c>
      <c r="AE11" s="249">
        <v>-8.617686132219061</v>
      </c>
      <c r="AF11" s="249">
        <v>-0.7495145248251852</v>
      </c>
      <c r="AG11" s="250">
        <v>2.62602587592182</v>
      </c>
      <c r="AH11" s="248">
        <v>27.1923303587608</v>
      </c>
      <c r="AI11" s="249">
        <v>-8.617686132219061</v>
      </c>
      <c r="AJ11" s="249">
        <v>-0.7495145248251852</v>
      </c>
      <c r="AK11" s="250">
        <v>2.62602587592182</v>
      </c>
      <c r="AL11" s="248">
        <v>27.1923303587608</v>
      </c>
      <c r="AM11" s="249">
        <v>-8.617686132219061</v>
      </c>
      <c r="AN11" s="249">
        <v>-0.7495145248251852</v>
      </c>
      <c r="AO11" s="250">
        <v>2.62602587592182</v>
      </c>
      <c r="AP11" s="267">
        <v>27.1923303587608</v>
      </c>
      <c r="AQ11" s="268">
        <v>-8.617686132219061</v>
      </c>
      <c r="AR11" s="268">
        <v>-0.7495145248251852</v>
      </c>
      <c r="AS11" s="269">
        <v>2.62602587592182</v>
      </c>
      <c r="AT11" s="248">
        <v>27.1923303587608</v>
      </c>
      <c r="AU11" s="249">
        <v>-8.617686132219061</v>
      </c>
      <c r="AV11" s="249">
        <v>-0.7495145248251852</v>
      </c>
      <c r="AW11" s="250">
        <v>2.62602587592182</v>
      </c>
      <c r="AX11" s="241"/>
      <c r="AY11" s="241"/>
      <c r="AZ11" s="241"/>
    </row>
    <row r="12" ht="13.5" hidden="1" customHeight="1">
      <c r="A12" s="241"/>
      <c r="B12" s="246"/>
      <c r="C12" s="261"/>
      <c r="D12" s="261"/>
      <c r="E12" s="261"/>
      <c r="F12" s="261"/>
      <c r="G12" s="261"/>
      <c r="H12" s="261"/>
      <c r="I12" s="261"/>
      <c r="J12" s="253">
        <v>7.793443616054486</v>
      </c>
      <c r="K12" s="254">
        <v>0.5361255949401076</v>
      </c>
      <c r="L12" s="254">
        <v>-0.2088413597302598</v>
      </c>
      <c r="M12" s="255">
        <v>0.992761292952705</v>
      </c>
      <c r="N12" s="253">
        <v>8.617686132219061</v>
      </c>
      <c r="O12" s="254">
        <v>27.1923303587608</v>
      </c>
      <c r="P12" s="254">
        <v>-2.6260258759218194</v>
      </c>
      <c r="Q12" s="255">
        <v>-0.7495145248251851</v>
      </c>
      <c r="R12" s="253">
        <v>8.617686132219061</v>
      </c>
      <c r="S12" s="254">
        <v>27.1923303587608</v>
      </c>
      <c r="T12" s="254">
        <v>-2.6260258759218194</v>
      </c>
      <c r="U12" s="255">
        <v>-0.7495145248251851</v>
      </c>
      <c r="V12" s="253">
        <v>8.617686132219061</v>
      </c>
      <c r="W12" s="254">
        <v>27.1923303587608</v>
      </c>
      <c r="X12" s="254">
        <v>-2.6260258759218194</v>
      </c>
      <c r="Y12" s="255">
        <v>-0.7495145248251851</v>
      </c>
      <c r="Z12" s="253">
        <v>8.617686132219061</v>
      </c>
      <c r="AA12" s="254">
        <v>27.1923303587608</v>
      </c>
      <c r="AB12" s="254">
        <v>-2.6260258759218194</v>
      </c>
      <c r="AC12" s="255">
        <v>-0.7495145248251851</v>
      </c>
      <c r="AD12" s="253">
        <v>8.617686132219061</v>
      </c>
      <c r="AE12" s="254">
        <v>27.1923303587608</v>
      </c>
      <c r="AF12" s="254">
        <v>-2.6260258759218194</v>
      </c>
      <c r="AG12" s="255">
        <v>-0.7495145248251851</v>
      </c>
      <c r="AH12" s="253">
        <v>8.617686132219061</v>
      </c>
      <c r="AI12" s="254">
        <v>27.1923303587608</v>
      </c>
      <c r="AJ12" s="254">
        <v>-2.6260258759218194</v>
      </c>
      <c r="AK12" s="255">
        <v>-0.7495145248251851</v>
      </c>
      <c r="AL12" s="253">
        <v>8.617686132219061</v>
      </c>
      <c r="AM12" s="254">
        <v>27.1923303587608</v>
      </c>
      <c r="AN12" s="254">
        <v>-2.6260258759218194</v>
      </c>
      <c r="AO12" s="255">
        <v>-0.7495145248251851</v>
      </c>
      <c r="AP12" s="270">
        <v>8.617686132219061</v>
      </c>
      <c r="AQ12" s="271">
        <v>27.1923303587608</v>
      </c>
      <c r="AR12" s="271">
        <v>-2.6260258759218194</v>
      </c>
      <c r="AS12" s="272">
        <v>-0.7495145248251851</v>
      </c>
      <c r="AT12" s="253">
        <v>8.617686132219061</v>
      </c>
      <c r="AU12" s="254">
        <v>27.1923303587608</v>
      </c>
      <c r="AV12" s="254">
        <v>-2.6260258759218194</v>
      </c>
      <c r="AW12" s="255">
        <v>-0.7495145248251851</v>
      </c>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-3.557079339</v>
      </c>
      <c r="G14" s="268">
        <v>4.716052943157843</v>
      </c>
      <c r="H14" s="268">
        <v>0.38287491749561287</v>
      </c>
      <c r="I14" s="269">
        <v>-1.345536072664029</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-4.716052943157844</v>
      </c>
      <c r="G15" s="268">
        <v>-3.5570793394674354</v>
      </c>
      <c r="H15" s="268">
        <v>1.345536072664029</v>
      </c>
      <c r="I15" s="269">
        <v>0.38287491749561275</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27.1923303587608</v>
      </c>
      <c r="G16" s="268">
        <v>-8.617686132219061</v>
      </c>
      <c r="H16" s="268">
        <v>-5.3722106858145215</v>
      </c>
      <c r="I16" s="269">
        <v>4.091032518399061</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8.617686132219061</v>
      </c>
      <c r="G17" s="271">
        <v>27.1923303587608</v>
      </c>
      <c r="H17" s="271">
        <v>-4.09103251839906</v>
      </c>
      <c r="I17" s="272">
        <v>-5.372210685814521</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f t="array" ref="F20:I23">MMULT(D3:G6,J20:M23)</f>
        <v>-5.372210686</v>
      </c>
      <c r="G20" s="249">
        <v>4.091032518399061</v>
      </c>
      <c r="H20" s="249">
        <v>0.16798649006303196</v>
      </c>
      <c r="I20" s="250">
        <v>-1.1818947719280668</v>
      </c>
      <c r="J20" s="267">
        <f t="array" ref="J20:M23">MMULT(H3:K6,N20:Q23)</f>
        <v>-0.7495145248</v>
      </c>
      <c r="K20" s="268">
        <v>2.6260258759218202</v>
      </c>
      <c r="L20" s="268">
        <v>-0.25180915120685865</v>
      </c>
      <c r="M20" s="269">
        <v>-0.438766037290323</v>
      </c>
      <c r="N20" s="248">
        <f t="array" ref="N20:Q23">MMULT(L3:O6,R20:U23)</f>
        <v>-0.4958313988</v>
      </c>
      <c r="O20" s="249">
        <v>2.535199007055022</v>
      </c>
      <c r="P20" s="249">
        <v>-0.2735209544125402</v>
      </c>
      <c r="Q20" s="250">
        <v>-0.39687581553097306</v>
      </c>
      <c r="R20" s="248">
        <f t="array" ref="R20:U23">MMULT(P3:S6,V20:Y23)</f>
        <v>0.1900710033</v>
      </c>
      <c r="S20" s="249">
        <v>2.0967659331836193</v>
      </c>
      <c r="T20" s="249">
        <v>-0.30695989099516835</v>
      </c>
      <c r="U20" s="250">
        <v>-0.26469048451787586</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-4.091032518399061</v>
      </c>
      <c r="G21" s="249">
        <v>-5.372210685814521</v>
      </c>
      <c r="H21" s="249">
        <v>1.1818947719280668</v>
      </c>
      <c r="I21" s="250">
        <v>0.1679864900630319</v>
      </c>
      <c r="J21" s="267">
        <v>-2.6260258759218202</v>
      </c>
      <c r="K21" s="268">
        <v>-0.7495145248251851</v>
      </c>
      <c r="L21" s="268">
        <v>0.438766037290323</v>
      </c>
      <c r="M21" s="269">
        <v>-0.25180915120685865</v>
      </c>
      <c r="N21" s="248">
        <v>-2.535199007055022</v>
      </c>
      <c r="O21" s="249">
        <v>-0.49583139878689375</v>
      </c>
      <c r="P21" s="249">
        <v>0.39687581553097306</v>
      </c>
      <c r="Q21" s="250">
        <v>-0.2735209544125402</v>
      </c>
      <c r="R21" s="248">
        <v>-2.0967659331836193</v>
      </c>
      <c r="S21" s="249">
        <v>0.19007100326757834</v>
      </c>
      <c r="T21" s="249">
        <v>0.26469048451787586</v>
      </c>
      <c r="U21" s="250">
        <v>-0.30695989099516835</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27.1923303587608</v>
      </c>
      <c r="G22" s="249">
        <v>-8.61768613221906</v>
      </c>
      <c r="H22" s="249">
        <v>-2.4693861251170035</v>
      </c>
      <c r="I22" s="250">
        <v>4.371345497869081</v>
      </c>
      <c r="J22" s="267">
        <v>27.1923303587608</v>
      </c>
      <c r="K22" s="268">
        <v>-8.61768613221906</v>
      </c>
      <c r="L22" s="268">
        <v>-2.4693861251170035</v>
      </c>
      <c r="M22" s="269">
        <v>4.371345497869081</v>
      </c>
      <c r="N22" s="248">
        <v>23.565577231972963</v>
      </c>
      <c r="O22" s="249">
        <v>-9.488288914893658</v>
      </c>
      <c r="P22" s="249">
        <v>-1.8827849298919235</v>
      </c>
      <c r="Q22" s="250">
        <v>4.001617006805102</v>
      </c>
      <c r="R22" s="248">
        <v>8.731271657183056</v>
      </c>
      <c r="S22" s="249">
        <v>-10.125600854220018</v>
      </c>
      <c r="T22" s="249">
        <v>0.19007100326757834</v>
      </c>
      <c r="U22" s="250">
        <v>2.0967659331836193</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8.61768613221906</v>
      </c>
      <c r="G23" s="254">
        <v>27.1923303587608</v>
      </c>
      <c r="H23" s="254">
        <v>-4.371345497869081</v>
      </c>
      <c r="I23" s="255">
        <v>-2.469386125117003</v>
      </c>
      <c r="J23" s="270">
        <v>8.61768613221906</v>
      </c>
      <c r="K23" s="271">
        <v>27.1923303587608</v>
      </c>
      <c r="L23" s="271">
        <v>-4.371345497869081</v>
      </c>
      <c r="M23" s="272">
        <v>-2.469386125117003</v>
      </c>
      <c r="N23" s="253">
        <v>9.488288914893658</v>
      </c>
      <c r="O23" s="254">
        <v>23.56557723197296</v>
      </c>
      <c r="P23" s="254">
        <v>-4.001617006805102</v>
      </c>
      <c r="Q23" s="255">
        <v>-1.8827849298919235</v>
      </c>
      <c r="R23" s="253">
        <v>10.125600854220018</v>
      </c>
      <c r="S23" s="254">
        <v>8.731271657183056</v>
      </c>
      <c r="T23" s="254">
        <v>-2.0967659331836193</v>
      </c>
      <c r="U23" s="255">
        <v>0.19007100326757834</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-5.372210686</v>
      </c>
      <c r="AU25" s="268">
        <v>4.091032518399061</v>
      </c>
      <c r="AV25" s="268">
        <v>0.3828749174956128</v>
      </c>
      <c r="AW25" s="269">
        <v>-1.3455360726640293</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-4.091032518399061</v>
      </c>
      <c r="AU26" s="268">
        <v>-5.372210685814521</v>
      </c>
      <c r="AV26" s="268">
        <v>1.3455360726640293</v>
      </c>
      <c r="AW26" s="269">
        <v>0.38287491749561275</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27.1923303587608</v>
      </c>
      <c r="AU27" s="268">
        <v>-8.61768613221906</v>
      </c>
      <c r="AV27" s="268">
        <v>-3.5570793394674354</v>
      </c>
      <c r="AW27" s="269">
        <v>4.716052943157843</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8.61768613221906</v>
      </c>
      <c r="AU28" s="271">
        <v>27.1923303587608</v>
      </c>
      <c r="AV28" s="271">
        <v>-4.716052943157843</v>
      </c>
      <c r="AW28" s="272">
        <v>-3.5570793394674354</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piastrelle</v>
      </c>
      <c r="C7" s="346">
        <f>'Calcoli componente'!C7</f>
        <v>1</v>
      </c>
      <c r="D7" s="347">
        <f>'Calcoli componente'!E7</f>
        <v>213</v>
      </c>
      <c r="E7" s="348">
        <f>'Calcoli componente'!G7</f>
        <v>1</v>
      </c>
      <c r="F7" s="349">
        <f>'Calcoli componente'!J7</f>
        <v>2.13</v>
      </c>
      <c r="G7" s="350">
        <f>'Calcoli componente'!K7</f>
        <v>0.01</v>
      </c>
      <c r="H7" s="282"/>
      <c r="I7" s="328" t="s">
        <v>366</v>
      </c>
      <c r="J7" s="351">
        <f>0</f>
        <v>0</v>
      </c>
      <c r="K7" s="352">
        <f>K6-(K$6-K$18)*0.25/$G$19</f>
        <v>13.09635628</v>
      </c>
      <c r="L7" s="309" t="str">
        <f t="shared" si="1"/>
        <v>#NAME?</v>
      </c>
      <c r="M7" s="309">
        <f>M6</f>
        <v>1389.18</v>
      </c>
      <c r="N7" s="309">
        <v>0.0</v>
      </c>
      <c r="O7" s="309" t="str">
        <f>IF(AND(N7&gt;0,N7=MAX(N$7:N$17)),1,0)</f>
        <v>#NAME?</v>
      </c>
      <c r="P7" s="309">
        <f>M7</f>
        <v>1389.18</v>
      </c>
      <c r="Q7" s="250" t="str">
        <f>0.0000000002*(P7-P8)/($J8-$J7)</f>
        <v>#NAME?</v>
      </c>
      <c r="R7" s="352">
        <f>R6-(R$6-R$18)*0.25/$G$19</f>
        <v>14.08259109</v>
      </c>
      <c r="S7" s="309" t="str">
        <f t="shared" si="2"/>
        <v>#NAME?</v>
      </c>
      <c r="T7" s="309">
        <f>T6</f>
        <v>1354.44</v>
      </c>
      <c r="U7" s="309">
        <v>0.0</v>
      </c>
      <c r="V7" s="309" t="str">
        <f>IF(AND(U7&gt;0,U7=MAX(U$7:U$17)),1,0)</f>
        <v>#NAME?</v>
      </c>
      <c r="W7" s="309">
        <f>T7</f>
        <v>1354.44</v>
      </c>
      <c r="X7" s="250" t="str">
        <f>0.0000000002*(W7-W8)/($J8-$J7)</f>
        <v>#NAME?</v>
      </c>
      <c r="Y7" s="352">
        <f>Y6-(Y$6-Y$18)*0.25/$G$19</f>
        <v>15.8437247</v>
      </c>
      <c r="Z7" s="309" t="str">
        <f t="shared" si="3"/>
        <v>#NAME?</v>
      </c>
      <c r="AA7" s="309">
        <f>AA6</f>
        <v>1108.69</v>
      </c>
      <c r="AB7" s="309">
        <v>0.0</v>
      </c>
      <c r="AC7" s="309" t="str">
        <f>IF(AND(AB7&gt;0,AB7=MAX(AB$7:AB$17)),1,0)</f>
        <v>#NAME?</v>
      </c>
      <c r="AD7" s="309">
        <f>AA7</f>
        <v>1108.69</v>
      </c>
      <c r="AE7" s="250" t="str">
        <f>0.0000000002*(AD7-AD8)/($J8-$J7)</f>
        <v>#NAME?</v>
      </c>
      <c r="AF7" s="352">
        <f>AF6-(AF$6-AF$18)*0.25/$G$19</f>
        <v>17.42874494</v>
      </c>
      <c r="AG7" s="309" t="str">
        <f t="shared" si="4"/>
        <v>#NAME?</v>
      </c>
      <c r="AH7" s="309">
        <f>AH6</f>
        <v>1129.215</v>
      </c>
      <c r="AI7" s="309">
        <v>0.0</v>
      </c>
      <c r="AJ7" s="309" t="str">
        <f>IF(AND(AI7&gt;0,AI7=MAX(AI$7:AI$17)),1,0)</f>
        <v>#NAME?</v>
      </c>
      <c r="AK7" s="309">
        <f>AH7</f>
        <v>1129.215</v>
      </c>
      <c r="AL7" s="250" t="str">
        <f>0.0000000002*(AK7-AK8)/($J8-$J7)</f>
        <v>#NAME?</v>
      </c>
      <c r="AM7" s="352">
        <f>AM6-(AM$6-AM$18)*0.25/$G$19</f>
        <v>18.83765182</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19.57732794</v>
      </c>
      <c r="BP7" s="309" t="str">
        <f t="shared" si="9"/>
        <v>#NAME?</v>
      </c>
      <c r="BQ7" s="309">
        <f>BQ6</f>
        <v>1557.46</v>
      </c>
      <c r="BR7" s="309">
        <v>0.0</v>
      </c>
      <c r="BS7" s="309" t="str">
        <f>IF(AND(BR7&gt;0,BR7=MAX(BR$7:BR$17)),1,0)</f>
        <v>#NAME?</v>
      </c>
      <c r="BT7" s="309">
        <f>BQ7</f>
        <v>1557.46</v>
      </c>
      <c r="BU7" s="250" t="str">
        <f>0.0000000002*(BT7-BT8)/($J8-$J7)</f>
        <v>#NAME?</v>
      </c>
      <c r="BV7" s="352">
        <f>BV6-(BV$6-BV$18)*0.25/$G$19</f>
        <v>17.39352227</v>
      </c>
      <c r="BW7" s="309" t="str">
        <f t="shared" si="10"/>
        <v>#NAME?</v>
      </c>
      <c r="BX7" s="309">
        <f>BX6</f>
        <v>1509.67</v>
      </c>
      <c r="BY7" s="309">
        <v>0.0</v>
      </c>
      <c r="BZ7" s="309" t="str">
        <f>IF(AND(BY7&gt;0,BY7=MAX(BY$7:BY$17)),1,0)</f>
        <v>#NAME?</v>
      </c>
      <c r="CA7" s="309">
        <f>BX7</f>
        <v>1509.67</v>
      </c>
      <c r="CB7" s="250" t="str">
        <f>0.0000000002*(CA7-CA8)/($J8-$J7)</f>
        <v>#NAME?</v>
      </c>
      <c r="CC7" s="352">
        <f>CC6-(CC$6-CC$18)*0.25/$G$19</f>
        <v>15.35060729</v>
      </c>
      <c r="CD7" s="309" t="str">
        <f t="shared" si="11"/>
        <v>#NAME?</v>
      </c>
      <c r="CE7" s="309">
        <f>CE6</f>
        <v>1429.06</v>
      </c>
      <c r="CF7" s="309">
        <v>0.0</v>
      </c>
      <c r="CG7" s="309" t="str">
        <f>IF(AND(CF7&gt;0,CF7=MAX(CF$7:CF$17)),1,0)</f>
        <v>#NAME?</v>
      </c>
      <c r="CH7" s="309">
        <f>CE7</f>
        <v>1429.06</v>
      </c>
      <c r="CI7" s="250" t="str">
        <f>0.0000000002*(CH7-CH8)/($J8-$J7)</f>
        <v>#NAME?</v>
      </c>
      <c r="CJ7" s="352">
        <f>CJ6-(CJ$6-CJ$18)*0.25/$G$19</f>
        <v>13.65991903</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5</v>
      </c>
      <c r="D8" s="308">
        <f>'Calcoli componente'!E8</f>
        <v>69</v>
      </c>
      <c r="E8" s="355">
        <f>'Calcoli componente'!G8</f>
        <v>1.16</v>
      </c>
      <c r="F8" s="356">
        <f>'Calcoli componente'!J8</f>
        <v>3.45</v>
      </c>
      <c r="G8" s="357">
        <f>'Calcoli componente'!K8</f>
        <v>0.04310344828</v>
      </c>
      <c r="H8" s="282"/>
      <c r="I8" s="328" t="s">
        <v>367</v>
      </c>
      <c r="J8" s="351">
        <f t="shared" ref="J8:J17" si="13">J7+F7</f>
        <v>2.13</v>
      </c>
      <c r="K8" s="352">
        <f t="shared" ref="K8:K17" si="14">K7-(K$6-K$18)*$G7/$G$19</f>
        <v>12.82021053</v>
      </c>
      <c r="L8" s="309" t="str">
        <f t="shared" si="1"/>
        <v>#NAME?</v>
      </c>
      <c r="M8" s="309">
        <f t="shared" ref="M8:M16" si="15">M$7-(M$7-M$17)*$J8/$F$17</f>
        <v>1157.333403</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13.84589474</v>
      </c>
      <c r="S8" s="309" t="str">
        <f t="shared" si="2"/>
        <v>#NAME?</v>
      </c>
      <c r="T8" s="309">
        <f t="shared" ref="T8:T16" si="20">T$7-(T$7-T$17)*$J8/$F$17</f>
        <v>1155.714346</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15.67747368</v>
      </c>
      <c r="Z8" s="309" t="str">
        <f t="shared" si="3"/>
        <v>#NAME?</v>
      </c>
      <c r="AA8" s="309">
        <f t="shared" ref="AA8:AA16" si="25">AA$7-(AA$7-AA$17)*$J8/$F$17</f>
        <v>969.1088856</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17.32589474</v>
      </c>
      <c r="AG8" s="309" t="str">
        <f t="shared" si="4"/>
        <v>#NAME?</v>
      </c>
      <c r="AH8" s="309">
        <f t="shared" ref="AH8:AH16" si="30">AH$7-(AH$7-AH$17)*$J8/$F$17</f>
        <v>1042.863972</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18.79115789</v>
      </c>
      <c r="AN8" s="309" t="str">
        <f t="shared" si="5"/>
        <v>#NAME?</v>
      </c>
      <c r="AO8" s="309">
        <f t="shared" ref="AO8:AO16" si="35">AO$7-(AO$7-AO$17)*$J8/$F$17</f>
        <v>1342.979604</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19.56042105</v>
      </c>
      <c r="BP8" s="309" t="str">
        <f t="shared" si="9"/>
        <v>#NAME?</v>
      </c>
      <c r="BQ8" s="309">
        <f t="shared" ref="BQ8:BQ16" si="55">BQ$7-(BQ$7-BQ$17)*$J8/$F$17</f>
        <v>1543.26531</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17.28926316</v>
      </c>
      <c r="BW8" s="309" t="str">
        <f t="shared" si="10"/>
        <v>#NAME?</v>
      </c>
      <c r="BX8" s="309">
        <f t="shared" ref="BX8:BX16" si="60">BX$7-(BX$7-BX$17)*$J8/$F$17</f>
        <v>1422.136081</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15.16463158</v>
      </c>
      <c r="CD8" s="309" t="str">
        <f t="shared" si="11"/>
        <v>#NAME?</v>
      </c>
      <c r="CE8" s="309">
        <f t="shared" ref="CE8:CE16" si="65">CE$7-(CE$7-CE$17)*$J8/$F$17</f>
        <v>1272.918414</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13.40631579</v>
      </c>
      <c r="CK8" s="309" t="str">
        <f t="shared" si="12"/>
        <v>#NAME?</v>
      </c>
      <c r="CL8" s="309">
        <f t="shared" ref="CL8:CL16" si="70">CL$7-(CL$7-CL$17)*$J8/$F$17</f>
        <v>1194.979656</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laterizio</v>
      </c>
      <c r="C9" s="354">
        <f>'Calcoli componente'!C9</f>
        <v>33</v>
      </c>
      <c r="D9" s="308">
        <f>'Calcoli componente'!E9</f>
        <v>7.4</v>
      </c>
      <c r="E9" s="355">
        <f>'Calcoli componente'!G9</f>
        <v>0.9</v>
      </c>
      <c r="F9" s="356">
        <f>'Calcoli componente'!J9</f>
        <v>2.442</v>
      </c>
      <c r="G9" s="357">
        <f>'Calcoli componente'!K9</f>
        <v>0.3666666667</v>
      </c>
      <c r="H9" s="282"/>
      <c r="I9" s="328" t="s">
        <v>368</v>
      </c>
      <c r="J9" s="351">
        <f t="shared" si="13"/>
        <v>5.58</v>
      </c>
      <c r="K9" s="352">
        <f t="shared" si="14"/>
        <v>11.62992713</v>
      </c>
      <c r="L9" s="309" t="str">
        <f t="shared" si="1"/>
        <v>#NAME?</v>
      </c>
      <c r="M9" s="309">
        <f t="shared" si="15"/>
        <v>781.8072251</v>
      </c>
      <c r="N9" s="309" t="str">
        <f t="shared" si="16"/>
        <v>#NAME?</v>
      </c>
      <c r="O9" s="309" t="str">
        <f>IF(AND(N9&gt;0,N9=MAX(N$7:N$17)),3,0)</f>
        <v>#NAME?</v>
      </c>
      <c r="P9" s="309" t="str">
        <f t="shared" si="17"/>
        <v>#NAME?</v>
      </c>
      <c r="Q9" s="250" t="str">
        <f t="shared" si="18"/>
        <v>#NAME?</v>
      </c>
      <c r="R9" s="352">
        <f t="shared" si="19"/>
        <v>12.82565182</v>
      </c>
      <c r="S9" s="309" t="str">
        <f t="shared" si="2"/>
        <v>#NAME?</v>
      </c>
      <c r="T9" s="309">
        <f t="shared" si="20"/>
        <v>833.8347644</v>
      </c>
      <c r="U9" s="309" t="str">
        <f t="shared" si="21"/>
        <v>#NAME?</v>
      </c>
      <c r="V9" s="309" t="str">
        <f>IF(AND(U9&gt;0,U9=MAX(U$7:U$17)),3,0)</f>
        <v>#NAME?</v>
      </c>
      <c r="W9" s="309" t="str">
        <f t="shared" si="22"/>
        <v>#NAME?</v>
      </c>
      <c r="X9" s="250" t="str">
        <f t="shared" si="23"/>
        <v>#NAME?</v>
      </c>
      <c r="Y9" s="352">
        <f t="shared" si="24"/>
        <v>14.96087449</v>
      </c>
      <c r="Z9" s="309" t="str">
        <f t="shared" si="3"/>
        <v>#NAME?</v>
      </c>
      <c r="AA9" s="309">
        <f t="shared" si="25"/>
        <v>743.0267988</v>
      </c>
      <c r="AB9" s="309" t="str">
        <f t="shared" si="26"/>
        <v>#NAME?</v>
      </c>
      <c r="AC9" s="309" t="str">
        <f>IF(AND(AB9&gt;0,AB9=MAX(AB$7:AB$17)),3,0)</f>
        <v>#NAME?</v>
      </c>
      <c r="AD9" s="309" t="str">
        <f t="shared" si="27"/>
        <v>#NAME?</v>
      </c>
      <c r="AE9" s="250" t="str">
        <f t="shared" si="28"/>
        <v>#NAME?</v>
      </c>
      <c r="AF9" s="352">
        <f t="shared" si="29"/>
        <v>16.8825749</v>
      </c>
      <c r="AG9" s="309" t="str">
        <f t="shared" si="4"/>
        <v>#NAME?</v>
      </c>
      <c r="AH9" s="309">
        <f t="shared" si="30"/>
        <v>902.9996298</v>
      </c>
      <c r="AI9" s="309" t="str">
        <f t="shared" si="31"/>
        <v>#NAME?</v>
      </c>
      <c r="AJ9" s="309" t="str">
        <f>IF(AND(AI9&gt;0,AI9=MAX(AI$7:AI$17)),3,0)</f>
        <v>#NAME?</v>
      </c>
      <c r="AK9" s="309" t="str">
        <f t="shared" si="32"/>
        <v>#NAME?</v>
      </c>
      <c r="AL9" s="250" t="str">
        <f t="shared" si="33"/>
        <v>#NAME?</v>
      </c>
      <c r="AM9" s="352">
        <f t="shared" si="34"/>
        <v>18.59075304</v>
      </c>
      <c r="AN9" s="309" t="str">
        <f t="shared" si="5"/>
        <v>#NAME?</v>
      </c>
      <c r="AO9" s="309">
        <f t="shared" si="35"/>
        <v>1279.753257</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19.48754656</v>
      </c>
      <c r="BP9" s="309" t="str">
        <f t="shared" si="9"/>
        <v>#NAME?</v>
      </c>
      <c r="BQ9" s="309">
        <f t="shared" si="55"/>
        <v>1520.273912</v>
      </c>
      <c r="BR9" s="309" t="str">
        <f t="shared" si="56"/>
        <v>#NAME?</v>
      </c>
      <c r="BS9" s="309" t="str">
        <f>IF(AND(BR9&gt;0,BR9=MAX(BR$7:BR$17)),3,0)</f>
        <v>#NAME?</v>
      </c>
      <c r="BT9" s="309" t="str">
        <f t="shared" si="57"/>
        <v>#NAME?</v>
      </c>
      <c r="BU9" s="250" t="str">
        <f t="shared" si="58"/>
        <v>#NAME?</v>
      </c>
      <c r="BV9" s="352">
        <f t="shared" si="59"/>
        <v>16.83987045</v>
      </c>
      <c r="BW9" s="309" t="str">
        <f t="shared" si="10"/>
        <v>#NAME?</v>
      </c>
      <c r="BX9" s="309">
        <f t="shared" si="60"/>
        <v>1280.355789</v>
      </c>
      <c r="BY9" s="309" t="str">
        <f t="shared" si="61"/>
        <v>#NAME?</v>
      </c>
      <c r="BZ9" s="309" t="str">
        <f>IF(AND(BY9&gt;0,BY9=MAX(BY$7:BY$17)),3,0)</f>
        <v>#NAME?</v>
      </c>
      <c r="CA9" s="309" t="str">
        <f t="shared" si="62"/>
        <v>#NAME?</v>
      </c>
      <c r="CB9" s="250" t="str">
        <f t="shared" si="63"/>
        <v>#NAME?</v>
      </c>
      <c r="CC9" s="352">
        <f t="shared" si="64"/>
        <v>14.36301215</v>
      </c>
      <c r="CD9" s="309" t="str">
        <f t="shared" si="11"/>
        <v>#NAME?</v>
      </c>
      <c r="CE9" s="309">
        <f t="shared" si="65"/>
        <v>1020.013029</v>
      </c>
      <c r="CF9" s="309" t="str">
        <f t="shared" si="66"/>
        <v>#NAME?</v>
      </c>
      <c r="CG9" s="309" t="str">
        <f>IF(AND(CF9&gt;0,CF9=MAX(CF$7:CF$17)),3,0)</f>
        <v>#NAME?</v>
      </c>
      <c r="CH9" s="309" t="str">
        <f t="shared" si="67"/>
        <v>#NAME?</v>
      </c>
      <c r="CI9" s="250" t="str">
        <f t="shared" si="68"/>
        <v>#NAME?</v>
      </c>
      <c r="CJ9" s="352">
        <f t="shared" si="69"/>
        <v>12.31319838</v>
      </c>
      <c r="CK9" s="309" t="str">
        <f t="shared" si="12"/>
        <v>#NAME?</v>
      </c>
      <c r="CL9" s="309">
        <f t="shared" si="70"/>
        <v>850.1086761</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8.022</v>
      </c>
      <c r="K10" s="352">
        <f t="shared" si="14"/>
        <v>1.504582996</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4.146785425</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8.865004049</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13.11140081</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16.88597571</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18.86762753</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13.01703644</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7.543902834</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3.014412955</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8.022</v>
      </c>
      <c r="K11" s="352">
        <f t="shared" si="14"/>
        <v>1.504582996</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4.146785425</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8.865004049</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13.11140081</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16.88597571</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18.86762753</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13.01703644</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7.543902834</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3.014412955</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8.022</v>
      </c>
      <c r="K12" s="352">
        <f t="shared" si="14"/>
        <v>1.504582996</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4.146785425</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8.865004049</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13.11140081</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16.88597571</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18.86762753</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13.01703644</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7.543902834</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3.014412955</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8.022</v>
      </c>
      <c r="K13" s="352">
        <f t="shared" si="14"/>
        <v>1.504582996</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4.146785425</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8.865004049</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13.11140081</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16.88597571</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18.86762753</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13.01703644</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7.543902834</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3.014412955</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8.022</v>
      </c>
      <c r="K14" s="352">
        <f t="shared" si="14"/>
        <v>1.504582996</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4.146785425</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8.865004049</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13.11140081</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16.88597571</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18.86762753</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13.01703644</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7.543902834</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3.014412955</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8.022</v>
      </c>
      <c r="K15" s="352">
        <f t="shared" si="14"/>
        <v>1.504582996</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4.146785425</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8.865004049</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13.11140081</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16.88597571</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18.86762753</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13.01703644</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7.543902834</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3.014412955</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8.022</v>
      </c>
      <c r="K16" s="352">
        <f t="shared" si="14"/>
        <v>1.504582996</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4.146785425</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8.865004049</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13.11140081</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16.88597571</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18.86762753</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13.01703644</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7.543902834</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3.014412955</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110</v>
      </c>
      <c r="B17" s="363"/>
      <c r="C17" s="364">
        <f>SUM(C$7:C$16)</f>
        <v>39</v>
      </c>
      <c r="D17" s="363"/>
      <c r="E17" s="365"/>
      <c r="F17" s="366">
        <f t="shared" ref="F17:G17" si="74">SUM(F$7:F$16)</f>
        <v>8.022</v>
      </c>
      <c r="G17" s="367">
        <f t="shared" si="74"/>
        <v>0.4197701149</v>
      </c>
      <c r="H17" s="282"/>
      <c r="I17" s="328" t="s">
        <v>376</v>
      </c>
      <c r="J17" s="351">
        <f t="shared" si="13"/>
        <v>8.022</v>
      </c>
      <c r="K17" s="352">
        <f t="shared" si="14"/>
        <v>1.504582996</v>
      </c>
      <c r="L17" s="309" t="str">
        <f t="shared" si="1"/>
        <v>#NAME?</v>
      </c>
      <c r="M17" s="309">
        <f>M18</f>
        <v>516</v>
      </c>
      <c r="N17" s="309" t="str">
        <f t="shared" si="16"/>
        <v>#NAME?</v>
      </c>
      <c r="O17" s="309" t="str">
        <f>IF(AND(N17&gt;0,N17=MAX(N$7:N$17)),11,0)</f>
        <v>#NAME?</v>
      </c>
      <c r="P17" s="309">
        <f>M17</f>
        <v>516</v>
      </c>
      <c r="Q17" s="368"/>
      <c r="R17" s="352">
        <f t="shared" si="19"/>
        <v>4.146785425</v>
      </c>
      <c r="S17" s="309" t="str">
        <f t="shared" si="2"/>
        <v>#NAME?</v>
      </c>
      <c r="T17" s="309">
        <f>T18</f>
        <v>606</v>
      </c>
      <c r="U17" s="309" t="str">
        <f t="shared" si="21"/>
        <v>#NAME?</v>
      </c>
      <c r="V17" s="309" t="str">
        <f>IF(AND(U17&gt;0,U17=MAX(U$7:U$17)),11,0)</f>
        <v>#NAME?</v>
      </c>
      <c r="W17" s="309">
        <f>T17</f>
        <v>606</v>
      </c>
      <c r="X17" s="368"/>
      <c r="Y17" s="352">
        <f t="shared" si="24"/>
        <v>8.865004049</v>
      </c>
      <c r="Z17" s="309" t="str">
        <f t="shared" si="3"/>
        <v>#NAME?</v>
      </c>
      <c r="AA17" s="309">
        <f>AA18</f>
        <v>583</v>
      </c>
      <c r="AB17" s="309" t="str">
        <f t="shared" si="26"/>
        <v>#NAME?</v>
      </c>
      <c r="AC17" s="309" t="str">
        <f>IF(AND(AB17&gt;0,AB17=MAX(AB$7:AB$17)),11,0)</f>
        <v>#NAME?</v>
      </c>
      <c r="AD17" s="309">
        <f>AA17</f>
        <v>583</v>
      </c>
      <c r="AE17" s="368"/>
      <c r="AF17" s="352">
        <f t="shared" si="29"/>
        <v>13.11140081</v>
      </c>
      <c r="AG17" s="309" t="str">
        <f t="shared" si="4"/>
        <v>#NAME?</v>
      </c>
      <c r="AH17" s="309">
        <f>AH18</f>
        <v>804</v>
      </c>
      <c r="AI17" s="309" t="str">
        <f t="shared" si="31"/>
        <v>#NAME?</v>
      </c>
      <c r="AJ17" s="309" t="str">
        <f>IF(AND(AI17&gt;0,AI17=MAX(AI$7:AI$17)),11,0)</f>
        <v>#NAME?</v>
      </c>
      <c r="AK17" s="309">
        <f>AH17</f>
        <v>804</v>
      </c>
      <c r="AL17" s="368"/>
      <c r="AM17" s="352">
        <f t="shared" si="34"/>
        <v>16.88597571</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18.86762753</v>
      </c>
      <c r="BP17" s="309" t="str">
        <f t="shared" si="9"/>
        <v>#NAME?</v>
      </c>
      <c r="BQ17" s="309">
        <f>BQ18</f>
        <v>1504</v>
      </c>
      <c r="BR17" s="309" t="str">
        <f t="shared" si="56"/>
        <v>#NAME?</v>
      </c>
      <c r="BS17" s="309" t="str">
        <f>IF(AND(BR17&gt;0,BR17=MAX(BR$7:BR$17)),11,0)</f>
        <v>#NAME?</v>
      </c>
      <c r="BT17" s="309">
        <f>BQ17</f>
        <v>1504</v>
      </c>
      <c r="BU17" s="368"/>
      <c r="BV17" s="352">
        <f t="shared" si="59"/>
        <v>13.01703644</v>
      </c>
      <c r="BW17" s="309" t="str">
        <f t="shared" si="10"/>
        <v>#NAME?</v>
      </c>
      <c r="BX17" s="309">
        <f>BX18</f>
        <v>1180</v>
      </c>
      <c r="BY17" s="309" t="str">
        <f t="shared" si="61"/>
        <v>#NAME?</v>
      </c>
      <c r="BZ17" s="309" t="str">
        <f>IF(AND(BY17&gt;0,BY17=MAX(BY$7:BY$17)),11,0)</f>
        <v>#NAME?</v>
      </c>
      <c r="CA17" s="309">
        <f>BX17</f>
        <v>1180</v>
      </c>
      <c r="CB17" s="368"/>
      <c r="CC17" s="352">
        <f t="shared" si="64"/>
        <v>7.543902834</v>
      </c>
      <c r="CD17" s="309" t="str">
        <f t="shared" si="11"/>
        <v>#NAME?</v>
      </c>
      <c r="CE17" s="309">
        <f>CE18</f>
        <v>841</v>
      </c>
      <c r="CF17" s="309" t="str">
        <f t="shared" si="66"/>
        <v>#NAME?</v>
      </c>
      <c r="CG17" s="309" t="str">
        <f>IF(AND(CF17&gt;0,CF17=MAX(CF$7:CF$17)),11,0)</f>
        <v>#NAME?</v>
      </c>
      <c r="CH17" s="309">
        <f>CE17</f>
        <v>841</v>
      </c>
      <c r="CI17" s="368"/>
      <c r="CJ17" s="352">
        <f t="shared" si="69"/>
        <v>3.014412955</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0.7097701149</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0.6477732794</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2.13</v>
      </c>
      <c r="F31" s="387">
        <f t="shared" ref="F31:F40" si="80">F30+F7</f>
        <v>2.13</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5.58</v>
      </c>
      <c r="F32" s="387">
        <f t="shared" si="80"/>
        <v>5.58</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8.022</v>
      </c>
      <c r="F33" s="387">
        <f t="shared" si="80"/>
        <v>8.022</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8.022</v>
      </c>
      <c r="F34" s="387">
        <f t="shared" si="80"/>
        <v>8.022</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8.022</v>
      </c>
      <c r="F35" s="387">
        <f t="shared" si="80"/>
        <v>8.022</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8.022</v>
      </c>
      <c r="F36" s="387">
        <f t="shared" si="80"/>
        <v>8.022</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8.022</v>
      </c>
      <c r="F37" s="387">
        <f t="shared" si="80"/>
        <v>8.022</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8.022</v>
      </c>
      <c r="F38" s="387">
        <f t="shared" si="80"/>
        <v>8.022</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8.022</v>
      </c>
      <c r="F39" s="387">
        <f t="shared" si="80"/>
        <v>8.022</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8.022</v>
      </c>
      <c r="F40" s="315">
        <f t="shared" si="80"/>
        <v>8.022</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hidden="1"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 val="Porcellana"/>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2.480237914</v>
      </c>
      <c r="O3" s="429">
        <f>'Calcoli componente'!$L$47*COS('Calcoli componente'!$S$26*(Dati!$L3+'Calcoli componente'!$K$44)*3600)</f>
        <v>2.433249808</v>
      </c>
      <c r="P3" s="429">
        <f>'Calcoli componente'!$L$33*COS('Calcoli componente'!$S$26*(Dati!$L3+'Calcoli componente'!$K$30)*3600)</f>
        <v>-0.1232068082</v>
      </c>
      <c r="Q3" s="395"/>
      <c r="R3" s="395"/>
      <c r="S3" s="395"/>
      <c r="T3" s="395"/>
      <c r="U3" s="395"/>
      <c r="V3" s="395"/>
      <c r="W3" s="395"/>
      <c r="X3" s="395"/>
      <c r="Y3" s="395"/>
      <c r="Z3" s="395"/>
    </row>
    <row r="4" ht="12.75" customHeight="1">
      <c r="A4" s="395"/>
      <c r="B4" s="426">
        <v>0.0</v>
      </c>
      <c r="C4" s="426">
        <v>0.0</v>
      </c>
      <c r="D4" s="395"/>
      <c r="E4" s="395" t="s">
        <v>655</v>
      </c>
      <c r="F4" s="428">
        <f>'Calcoli componente'!L26</f>
        <v>1.587881</v>
      </c>
      <c r="G4" s="428">
        <v>0.0</v>
      </c>
      <c r="H4" s="395"/>
      <c r="I4" s="395"/>
      <c r="J4" s="395"/>
      <c r="K4" s="395"/>
      <c r="L4" s="426">
        <f>L3+'Calcoli componente'!$R$26/24</f>
        <v>1</v>
      </c>
      <c r="M4" s="429">
        <f>COS('Calcoli componente'!$S$26*Dati!$L4*3600)</f>
        <v>0.9659258263</v>
      </c>
      <c r="N4" s="429">
        <f>'Calcoli componente'!$L$40*COS('Calcoli componente'!$S$26*(Dati!$L4+'Calcoli componente'!$K$37)*3600)</f>
        <v>2.1474891</v>
      </c>
      <c r="O4" s="429">
        <f>'Calcoli componente'!$L$47*COS('Calcoli componente'!$S$26*(Dati!$L4+'Calcoli componente'!$K$44)*3600)</f>
        <v>1.878758856</v>
      </c>
      <c r="P4" s="429">
        <f>'Calcoli componente'!$L$33*COS('Calcoli componente'!$S$26*(Dati!$L4+'Calcoli componente'!$K$30)*3600)</f>
        <v>-0.006943800306</v>
      </c>
      <c r="Q4" s="395"/>
      <c r="R4" s="395"/>
      <c r="S4" s="395"/>
      <c r="T4" s="395"/>
      <c r="U4" s="395"/>
      <c r="V4" s="395"/>
      <c r="W4" s="395"/>
      <c r="X4" s="395"/>
      <c r="Y4" s="395"/>
      <c r="Z4" s="395"/>
    </row>
    <row r="5" ht="12.75"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1.668392453</v>
      </c>
      <c r="O5" s="429">
        <f>'Calcoli componente'!$L$47*COS('Calcoli componente'!$S$26*(Dati!$L5+'Calcoli componente'!$K$44)*3600)</f>
        <v>1.196233592</v>
      </c>
      <c r="P5" s="429">
        <f>'Calcoli componente'!$L$33*COS('Calcoli componente'!$S$26*(Dati!$L5+'Calcoli componente'!$K$30)*3600)</f>
        <v>0.1097924161</v>
      </c>
      <c r="Q5" s="395"/>
      <c r="R5" s="395"/>
      <c r="S5" s="395"/>
      <c r="T5" s="395"/>
      <c r="U5" s="395"/>
      <c r="V5" s="395"/>
      <c r="W5" s="395"/>
      <c r="X5" s="395"/>
      <c r="Y5" s="395"/>
      <c r="Z5" s="395"/>
    </row>
    <row r="6" ht="12.75" customHeight="1">
      <c r="A6" s="395"/>
      <c r="B6" s="426">
        <f>B5+'Caratteristiche componente'!$D8</f>
        <v>6</v>
      </c>
      <c r="C6" s="426">
        <f>C5+'Caratteristiche componente'!$D8</f>
        <v>6</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1.075597617</v>
      </c>
      <c r="O6" s="429">
        <f>'Calcoli componente'!$L$47*COS('Calcoli componente'!$S$26*(Dati!$L6+'Calcoli componente'!$K$44)*3600)</f>
        <v>0.4321869866</v>
      </c>
      <c r="P6" s="429">
        <f>'Calcoli componente'!$L$33*COS('Calcoli componente'!$S$26*(Dati!$L6+'Calcoli componente'!$K$30)*3600)</f>
        <v>0.2190464608</v>
      </c>
      <c r="Q6" s="395"/>
      <c r="R6" s="395"/>
      <c r="S6" s="395"/>
      <c r="T6" s="395"/>
      <c r="U6" s="395"/>
      <c r="V6" s="395"/>
      <c r="W6" s="395"/>
      <c r="X6" s="395"/>
      <c r="Y6" s="395"/>
      <c r="Z6" s="395"/>
    </row>
    <row r="7" ht="12.75" customHeight="1">
      <c r="A7" s="395"/>
      <c r="B7" s="426">
        <f>B6+'Caratteristiche componente'!$D9</f>
        <v>39</v>
      </c>
      <c r="C7" s="426">
        <f>C6+'Caratteristiche componente'!$D9</f>
        <v>39</v>
      </c>
      <c r="D7" s="395"/>
      <c r="E7" s="395" t="s">
        <v>656</v>
      </c>
      <c r="F7" s="428">
        <f>'Calcoli componente'!$AR$28</f>
        <v>3.93832266</v>
      </c>
      <c r="G7" s="428">
        <f>'Calcoli componente'!$AS$28</f>
        <v>1.522957591</v>
      </c>
      <c r="H7" s="395"/>
      <c r="I7" s="395"/>
      <c r="J7" s="395"/>
      <c r="K7" s="395"/>
      <c r="L7" s="426">
        <f>L6+'Calcoli componente'!$R$26/24</f>
        <v>4</v>
      </c>
      <c r="M7" s="429">
        <f>COS('Calcoli componente'!$S$26*Dati!$L7*3600)</f>
        <v>0.5</v>
      </c>
      <c r="N7" s="429">
        <f>'Calcoli componente'!$L$40*COS('Calcoli componente'!$S$26*(Dati!$L7+'Calcoli componente'!$K$37)*3600)</f>
        <v>0.4095025807</v>
      </c>
      <c r="O7" s="429">
        <f>'Calcoli componente'!$L$47*COS('Calcoli componente'!$S$26*(Dati!$L7+'Calcoli componente'!$K$44)*3600)</f>
        <v>-0.3613124481</v>
      </c>
      <c r="P7" s="429">
        <f>'Calcoli componente'!$L$33*COS('Calcoli componente'!$S$26*(Dati!$L7+'Calcoli componente'!$K$30)*3600)</f>
        <v>0.3133728512</v>
      </c>
      <c r="Q7" s="395"/>
      <c r="R7" s="395"/>
      <c r="S7" s="395"/>
      <c r="T7" s="395"/>
      <c r="U7" s="395"/>
      <c r="V7" s="395"/>
      <c r="W7" s="395"/>
      <c r="X7" s="395"/>
      <c r="Y7" s="395"/>
      <c r="Z7" s="395"/>
    </row>
    <row r="8" ht="12.75" customHeight="1">
      <c r="A8" s="395"/>
      <c r="B8" s="426">
        <f>B7+'Caratteristiche componente'!$D10</f>
        <v>39</v>
      </c>
      <c r="C8" s="426">
        <f>C7+'Caratteristiche componente'!$D10</f>
        <v>39</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-0.2844993795</v>
      </c>
      <c r="O8" s="429">
        <f>'Calcoli componente'!$L$47*COS('Calcoli componente'!$S$26*(Dati!$L8+'Calcoli componente'!$K$44)*3600)</f>
        <v>-1.130189037</v>
      </c>
      <c r="P8" s="429">
        <f>'Calcoli componente'!$L$33*COS('Calcoli componente'!$S$26*(Dati!$L8+'Calcoli componente'!$K$30)*3600)</f>
        <v>0.3863433997</v>
      </c>
      <c r="Q8" s="395"/>
      <c r="R8" s="395"/>
      <c r="S8" s="395"/>
      <c r="T8" s="395"/>
      <c r="U8" s="395"/>
      <c r="V8" s="395"/>
      <c r="W8" s="395"/>
      <c r="X8" s="395"/>
      <c r="Y8" s="395"/>
      <c r="Z8" s="395"/>
    </row>
    <row r="9" ht="12.75" customHeight="1">
      <c r="A9" s="395"/>
      <c r="B9" s="426">
        <f>B8+'Caratteristiche componente'!$D11</f>
        <v>39</v>
      </c>
      <c r="C9" s="426">
        <f>C8+'Caratteristiche componente'!$D11</f>
        <v>39</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-0.9591131771</v>
      </c>
      <c r="O9" s="429">
        <f>'Calcoli componente'!$L$47*COS('Calcoli componente'!$S$26*(Dati!$L9+'Calcoli componente'!$K$44)*3600)</f>
        <v>-1.82204511</v>
      </c>
      <c r="P9" s="429">
        <f>'Calcoli componente'!$L$33*COS('Calcoli componente'!$S$26*(Dati!$L9+'Calcoli componente'!$K$30)*3600)</f>
        <v>0.4329852839</v>
      </c>
      <c r="Q9" s="395"/>
      <c r="R9" s="395"/>
      <c r="S9" s="395"/>
      <c r="T9" s="395"/>
      <c r="U9" s="395"/>
      <c r="V9" s="395"/>
      <c r="W9" s="395"/>
      <c r="X9" s="395"/>
      <c r="Y9" s="395"/>
      <c r="Z9" s="395"/>
    </row>
    <row r="10" ht="12.75" customHeight="1">
      <c r="A10" s="395"/>
      <c r="B10" s="426">
        <f>B9+'Caratteristiche componente'!$D12</f>
        <v>39</v>
      </c>
      <c r="C10" s="426">
        <f>C9+'Caratteristiche componente'!$D12</f>
        <v>39</v>
      </c>
      <c r="D10" s="395"/>
      <c r="E10" s="395" t="s">
        <v>657</v>
      </c>
      <c r="F10" s="428">
        <f>'Calcoli componente'!$AW$28</f>
        <v>3.863711139</v>
      </c>
      <c r="G10" s="428">
        <f>'Calcoli componente'!$AX$28</f>
        <v>2.893190812</v>
      </c>
      <c r="H10" s="395"/>
      <c r="I10" s="395"/>
      <c r="J10" s="395"/>
      <c r="K10" s="395"/>
      <c r="L10" s="426">
        <f>L9+'Calcoli componente'!$R$26/24</f>
        <v>7</v>
      </c>
      <c r="M10" s="429">
        <f>COS('Calcoli componente'!$S$26*Dati!$L10*3600)</f>
        <v>-0.2588190451</v>
      </c>
      <c r="N10" s="429">
        <f>'Calcoli componente'!$L$40*COS('Calcoli componente'!$S$26*(Dati!$L10+'Calcoli componente'!$K$37)*3600)</f>
        <v>-1.568364997</v>
      </c>
      <c r="O10" s="429">
        <f>'Calcoli componente'!$L$47*COS('Calcoli componente'!$S$26*(Dati!$L10+'Calcoli componente'!$K$44)*3600)</f>
        <v>-2.38973182</v>
      </c>
      <c r="P10" s="429">
        <f>'Calcoli componente'!$L$33*COS('Calcoli componente'!$S$26*(Dati!$L10+'Calcoli componente'!$K$30)*3600)</f>
        <v>0.4501199366</v>
      </c>
      <c r="Q10" s="395"/>
      <c r="R10" s="395"/>
      <c r="S10" s="395"/>
      <c r="T10" s="395"/>
      <c r="U10" s="395"/>
      <c r="V10" s="395"/>
      <c r="W10" s="395"/>
      <c r="X10" s="395"/>
      <c r="Y10" s="395"/>
      <c r="Z10" s="395"/>
    </row>
    <row r="11" ht="12.75" customHeight="1">
      <c r="A11" s="395"/>
      <c r="B11" s="426">
        <f>B10+'Caratteristiche componente'!$D13</f>
        <v>39</v>
      </c>
      <c r="C11" s="426">
        <f>C10+'Caratteristiche componente'!$D13</f>
        <v>39</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-2.070735334</v>
      </c>
      <c r="O11" s="429">
        <f>'Calcoli componente'!$L$47*COS('Calcoli componente'!$S$26*(Dati!$L11+'Calcoli componente'!$K$44)*3600)</f>
        <v>-2.794562256</v>
      </c>
      <c r="P11" s="429">
        <f>'Calcoli componente'!$L$33*COS('Calcoli componente'!$S$26*(Dati!$L11+'Calcoli componente'!$K$30)*3600)</f>
        <v>0.4365796594</v>
      </c>
      <c r="Q11" s="395"/>
      <c r="R11" s="395"/>
      <c r="S11" s="395"/>
      <c r="T11" s="395"/>
      <c r="U11" s="395"/>
      <c r="V11" s="395"/>
      <c r="W11" s="395"/>
      <c r="X11" s="395"/>
      <c r="Y11" s="395"/>
      <c r="Z11" s="395"/>
    </row>
    <row r="12" ht="12.75" customHeight="1">
      <c r="A12" s="395"/>
      <c r="B12" s="426">
        <f>B11+'Caratteristiche componente'!$D14</f>
        <v>39</v>
      </c>
      <c r="C12" s="426">
        <f>C11+'Caratteristiche componente'!$D14</f>
        <v>39</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-2.43198848</v>
      </c>
      <c r="O12" s="429">
        <f>'Calcoli componente'!$L$47*COS('Calcoli componente'!$S$26*(Dati!$L12+'Calcoli componente'!$K$44)*3600)</f>
        <v>-3.008947893</v>
      </c>
      <c r="P12" s="429">
        <f>'Calcoli componente'!$L$33*COS('Calcoli componente'!$S$26*(Dati!$L12+'Calcoli componente'!$K$30)*3600)</f>
        <v>0.3932872</v>
      </c>
      <c r="Q12" s="395"/>
      <c r="R12" s="395"/>
      <c r="S12" s="395"/>
      <c r="T12" s="395"/>
      <c r="U12" s="395"/>
      <c r="V12" s="395"/>
      <c r="W12" s="395"/>
      <c r="X12" s="395"/>
      <c r="Y12" s="395"/>
      <c r="Z12" s="395"/>
    </row>
    <row r="13" ht="12.75" customHeight="1">
      <c r="A13" s="395"/>
      <c r="B13" s="426">
        <f>B12+'Caratteristiche componente'!$D15</f>
        <v>39</v>
      </c>
      <c r="C13" s="426">
        <f>C12+'Caratteristiche componente'!$D15</f>
        <v>39</v>
      </c>
      <c r="D13" s="395"/>
      <c r="E13" s="395" t="s">
        <v>658</v>
      </c>
      <c r="F13" s="428">
        <f>'Calcoli componente'!$BB$28</f>
        <v>-0.1956377499</v>
      </c>
      <c r="G13" s="428">
        <f>'Calcoli componente'!$BC$28</f>
        <v>-0.6875291057</v>
      </c>
      <c r="H13" s="395"/>
      <c r="I13" s="395"/>
      <c r="J13" s="395"/>
      <c r="K13" s="395"/>
      <c r="L13" s="426">
        <f>L12+'Calcoli componente'!$R$26/24</f>
        <v>10</v>
      </c>
      <c r="M13" s="429">
        <f>COS('Calcoli componente'!$S$26*Dati!$L13*3600)</f>
        <v>-0.8660254038</v>
      </c>
      <c r="N13" s="429">
        <f>'Calcoli componente'!$L$40*COS('Calcoli componente'!$S$26*(Dati!$L13+'Calcoli componente'!$K$37)*3600)</f>
        <v>-2.62750563</v>
      </c>
      <c r="O13" s="429">
        <f>'Calcoli componente'!$L$47*COS('Calcoli componente'!$S$26*(Dati!$L13+'Calcoli componente'!$K$44)*3600)</f>
        <v>-3.018278703</v>
      </c>
      <c r="P13" s="429">
        <f>'Calcoli componente'!$L$33*COS('Calcoli componente'!$S$26*(Dati!$L13+'Calcoli componente'!$K$30)*3600)</f>
        <v>0.3231928678</v>
      </c>
      <c r="Q13" s="395"/>
      <c r="R13" s="395"/>
      <c r="S13" s="395"/>
      <c r="T13" s="395"/>
      <c r="U13" s="395"/>
      <c r="V13" s="395"/>
      <c r="W13" s="395"/>
      <c r="X13" s="395"/>
      <c r="Y13" s="395"/>
      <c r="Z13" s="395"/>
    </row>
    <row r="14" ht="12.75" customHeight="1">
      <c r="A14" s="395"/>
      <c r="B14" s="426">
        <f>B13+'Caratteristiche componente'!$D16</f>
        <v>39</v>
      </c>
      <c r="C14" s="426">
        <f>C13+'Caratteristiche componente'!$D16</f>
        <v>39</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-2.643962614</v>
      </c>
      <c r="O14" s="429">
        <f>'Calcoli componente'!$L$47*COS('Calcoli componente'!$S$26*(Dati!$L14+'Calcoli componente'!$K$44)*3600)</f>
        <v>-2.821918807</v>
      </c>
      <c r="P14" s="429">
        <f>'Calcoli componente'!$L$33*COS('Calcoli componente'!$S$26*(Dati!$L14+'Calcoli componente'!$K$30)*3600)</f>
        <v>0.2310734757</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-2.480237914</v>
      </c>
      <c r="O15" s="429">
        <f>'Calcoli componente'!$L$47*COS('Calcoli componente'!$S$26*(Dati!$L15+'Calcoli componente'!$K$44)*3600)</f>
        <v>-2.433249808</v>
      </c>
      <c r="P15" s="429">
        <f>'Calcoli componente'!$L$33*COS('Calcoli componente'!$S$26*(Dati!$L15+'Calcoli componente'!$K$30)*3600)</f>
        <v>0.1232068082</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-2.1474891</v>
      </c>
      <c r="O16" s="429">
        <f>'Calcoli componente'!$L$47*COS('Calcoli componente'!$S$26*(Dati!$L16+'Calcoli componente'!$K$44)*3600)</f>
        <v>-1.878758856</v>
      </c>
      <c r="P16" s="429">
        <f>'Calcoli componente'!$L$33*COS('Calcoli componente'!$S$26*(Dati!$L16+'Calcoli componente'!$K$30)*3600)</f>
        <v>0.006943800306</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-1.668392453</v>
      </c>
      <c r="O17" s="429">
        <f>'Calcoli componente'!$L$47*COS('Calcoli componente'!$S$26*(Dati!$L17+'Calcoli componente'!$K$44)*3600)</f>
        <v>-1.196233592</v>
      </c>
      <c r="P17" s="429">
        <f>'Calcoli componente'!$L$33*COS('Calcoli componente'!$S$26*(Dati!$L17+'Calcoli componente'!$K$30)*3600)</f>
        <v>-0.1097924161</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-1.075597617</v>
      </c>
      <c r="O18" s="429">
        <f>'Calcoli componente'!$L$47*COS('Calcoli componente'!$S$26*(Dati!$L18+'Calcoli componente'!$K$44)*3600)</f>
        <v>-0.4321869866</v>
      </c>
      <c r="P18" s="429">
        <f>'Calcoli componente'!$L$33*COS('Calcoli componente'!$S$26*(Dati!$L18+'Calcoli componente'!$K$30)*3600)</f>
        <v>-0.2190464608</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-0.4095025807</v>
      </c>
      <c r="O19" s="429">
        <f>'Calcoli componente'!$L$47*COS('Calcoli componente'!$S$26*(Dati!$L19+'Calcoli componente'!$K$44)*3600)</f>
        <v>0.3613124481</v>
      </c>
      <c r="P19" s="429">
        <f>'Calcoli componente'!$L$33*COS('Calcoli componente'!$S$26*(Dati!$L19+'Calcoli componente'!$K$30)*3600)</f>
        <v>-0.3133728512</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0.2844993795</v>
      </c>
      <c r="O20" s="429">
        <f>'Calcoli componente'!$L$47*COS('Calcoli componente'!$S$26*(Dati!$L20+'Calcoli componente'!$K$44)*3600)</f>
        <v>1.130189037</v>
      </c>
      <c r="P20" s="429">
        <f>'Calcoli componente'!$L$33*COS('Calcoli componente'!$S$26*(Dati!$L20+'Calcoli componente'!$K$30)*3600)</f>
        <v>-0.3863433997</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0.9591131771</v>
      </c>
      <c r="O21" s="429">
        <f>'Calcoli componente'!$L$47*COS('Calcoli componente'!$S$26*(Dati!$L21+'Calcoli componente'!$K$44)*3600)</f>
        <v>1.82204511</v>
      </c>
      <c r="P21" s="429">
        <f>'Calcoli componente'!$L$33*COS('Calcoli componente'!$S$26*(Dati!$L21+'Calcoli componente'!$K$30)*3600)</f>
        <v>-0.4329852839</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1.568364997</v>
      </c>
      <c r="O22" s="429">
        <f>'Calcoli componente'!$L$47*COS('Calcoli componente'!$S$26*(Dati!$L22+'Calcoli componente'!$K$44)*3600)</f>
        <v>2.38973182</v>
      </c>
      <c r="P22" s="429">
        <f>'Calcoli componente'!$L$33*COS('Calcoli componente'!$S$26*(Dati!$L22+'Calcoli componente'!$K$30)*3600)</f>
        <v>-0.4501199366</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2.070735334</v>
      </c>
      <c r="O23" s="429">
        <f>'Calcoli componente'!$L$47*COS('Calcoli componente'!$S$26*(Dati!$L23+'Calcoli componente'!$K$44)*3600)</f>
        <v>2.794562256</v>
      </c>
      <c r="P23" s="429">
        <f>'Calcoli componente'!$L$33*COS('Calcoli componente'!$S$26*(Dati!$L23+'Calcoli componente'!$K$30)*3600)</f>
        <v>-0.4365796594</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2.43198848</v>
      </c>
      <c r="O24" s="429">
        <f>'Calcoli componente'!$L$47*COS('Calcoli componente'!$S$26*(Dati!$L24+'Calcoli componente'!$K$44)*3600)</f>
        <v>3.008947893</v>
      </c>
      <c r="P24" s="429">
        <f>'Calcoli componente'!$L$33*COS('Calcoli componente'!$S$26*(Dati!$L24+'Calcoli componente'!$K$30)*3600)</f>
        <v>-0.3932872</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2.62750563</v>
      </c>
      <c r="O25" s="429">
        <f>'Calcoli componente'!$L$47*COS('Calcoli componente'!$S$26*(Dati!$L25+'Calcoli componente'!$K$44)*3600)</f>
        <v>3.018278703</v>
      </c>
      <c r="P25" s="429">
        <f>'Calcoli componente'!$L$33*COS('Calcoli componente'!$S$26*(Dati!$L25+'Calcoli componente'!$K$30)*3600)</f>
        <v>-0.3231928678</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2.643962614</v>
      </c>
      <c r="O26" s="429">
        <f>'Calcoli componente'!$L$47*COS('Calcoli componente'!$S$26*(Dati!$L26+'Calcoli componente'!$K$44)*3600)</f>
        <v>2.821918807</v>
      </c>
      <c r="P26" s="429">
        <f>'Calcoli componente'!$L$33*COS('Calcoli componente'!$S$26*(Dati!$L26+'Calcoli componente'!$K$30)*3600)</f>
        <v>-0.2310734757</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2.480237914</v>
      </c>
      <c r="O27" s="429">
        <f>'Calcoli componente'!$L$47*COS('Calcoli componente'!$S$26*(Dati!$L27+'Calcoli componente'!$K$44)*3600)</f>
        <v>2.433249808</v>
      </c>
      <c r="P27" s="429">
        <f>'Calcoli componente'!$L$33*COS('Calcoli componente'!$S$26*(Dati!$L27+'Calcoli componente'!$K$30)*3600)</f>
        <v>-0.1232068082</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