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localSheetId="9" name="OLE_LINK1">Materiali!$C$2</definedName>
    <definedName name="ngiorni">#REF!</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<sst xmlns="http://schemas.openxmlformats.org/spreadsheetml/2006/main" count="1626" uniqueCount="661">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</sst>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7667304"/>
        <c:axId val="1334241751"/>
      </c:scatterChart>
      <c:valAx>
        <c:axId val="876673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4241751"/>
      </c:valAx>
      <c:valAx>
        <c:axId val="13342417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66730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13816887"/>
        <c:axId val="1270553394"/>
      </c:scatterChart>
      <c:valAx>
        <c:axId val="71381688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0553394"/>
      </c:valAx>
      <c:valAx>
        <c:axId val="127055339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381688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99653862"/>
        <c:axId val="1391484241"/>
      </c:scatterChart>
      <c:valAx>
        <c:axId val="199965386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1484241"/>
      </c:valAx>
      <c:valAx>
        <c:axId val="139148424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965386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07971737"/>
        <c:axId val="1741395567"/>
      </c:scatterChart>
      <c:valAx>
        <c:axId val="110797173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1395567"/>
      </c:valAx>
      <c:valAx>
        <c:axId val="1741395567"/>
        <c:scaling>
          <c:orientation val="minMax"/>
        </c:scaling>
        <c:delete val="0"/>
        <c:axPos val="l"/>
        <c:tickLblPos val="nextTo"/>
        <c:spPr>
          <a:ln>
            <a:noFill/>
          </a:ln>
        </c:spPr>
        <c:crossAx val="110797173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07110700"/>
        <c:axId val="1578496179"/>
      </c:scatterChart>
      <c:valAx>
        <c:axId val="7071107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8496179"/>
      </c:valAx>
      <c:valAx>
        <c:axId val="1578496179"/>
        <c:scaling>
          <c:orientation val="minMax"/>
        </c:scaling>
        <c:delete val="0"/>
        <c:axPos val="l"/>
        <c:tickLblPos val="nextTo"/>
        <c:spPr>
          <a:ln>
            <a:noFill/>
          </a:ln>
        </c:spPr>
        <c:crossAx val="70711070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98038288"/>
        <c:axId val="474708060"/>
      </c:scatterChart>
      <c:valAx>
        <c:axId val="4980382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4708060"/>
      </c:valAx>
      <c:valAx>
        <c:axId val="4747080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803828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4.0</v>
      </c>
      <c r="E10" s="74"/>
      <c r="F10" s="75"/>
      <c r="G10" s="76"/>
      <c r="H10" s="91">
        <v>0.075</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1.291919192</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0.7740422205</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39</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4</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0.075</v>
      </c>
      <c r="H10" s="159" t="str">
        <f t="shared" si="1"/>
        <v>#DIV/0!</v>
      </c>
      <c r="I10" s="160">
        <f t="shared" si="2"/>
        <v>0</v>
      </c>
      <c r="J10" s="161">
        <f>IF($C10&gt;0,IF(OR('Caratteristiche componente'!$C10="intercapedine",'Caratteristiche componente'!$C10="aria",'Caratteristiche componente'!$C10="intercapedine d'aria"),0.01,$C10/100*$E10),0)</f>
        <v>0</v>
      </c>
      <c r="K10" s="85">
        <f t="shared" si="3"/>
        <v>0.5333333333</v>
      </c>
      <c r="L10" s="85">
        <f t="shared" si="4"/>
        <v>1.875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39</v>
      </c>
      <c r="D17" s="189"/>
      <c r="E17" s="191"/>
      <c r="F17" s="191"/>
      <c r="G17" s="191"/>
      <c r="H17" s="192"/>
      <c r="I17" s="193">
        <f t="shared" ref="I17:K17" si="32">SUM(I$7:I$16)</f>
        <v>0</v>
      </c>
      <c r="J17" s="194">
        <f t="shared" si="32"/>
        <v>0</v>
      </c>
      <c r="K17" s="194">
        <f t="shared" si="32"/>
        <v>1.081919192</v>
      </c>
      <c r="L17" s="195">
        <f t="shared" si="4"/>
        <v>0.9242834469</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1.291919192</v>
      </c>
      <c r="L26" s="217">
        <f>1/$K$26</f>
        <v>0.7740422205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16.42836107</v>
      </c>
      <c r="L7" s="310" t="str">
        <f t="shared" si="1"/>
        <v>#NAME?</v>
      </c>
      <c r="M7" s="310">
        <f>M6</f>
        <v>1389.18</v>
      </c>
      <c r="N7" s="310">
        <v>0.0</v>
      </c>
      <c r="O7" s="310" t="str">
        <f>IF(AND(N7&gt;0,N7=MAX(N$7:N$17)),1,0)</f>
        <v>#DIV/0!</v>
      </c>
      <c r="P7" s="310">
        <f>M7</f>
        <v>1389.18</v>
      </c>
      <c r="Q7" s="251" t="str">
        <f>0.0000000002*(P7-P8)/($J8-$J7)</f>
        <v>#DIV/0!</v>
      </c>
      <c r="R7" s="353">
        <f>R6-(R$6-R$18)*0.25/$G$19</f>
        <v>16.9385952</v>
      </c>
      <c r="S7" s="310" t="str">
        <f t="shared" si="2"/>
        <v>#NAME?</v>
      </c>
      <c r="T7" s="310">
        <f>T6</f>
        <v>1354.44</v>
      </c>
      <c r="U7" s="310">
        <v>0.0</v>
      </c>
      <c r="V7" s="310" t="str">
        <f>IF(AND(U7&gt;0,U7=MAX(U$7:U$17)),1,0)</f>
        <v>#DIV/0!</v>
      </c>
      <c r="W7" s="310">
        <f>T7</f>
        <v>1354.44</v>
      </c>
      <c r="X7" s="251" t="str">
        <f>0.0000000002*(W7-W8)/($J8-$J7)</f>
        <v>#DIV/0!</v>
      </c>
      <c r="Y7" s="353">
        <f>Y6-(Y$6-Y$18)*0.25/$G$19</f>
        <v>17.84972758</v>
      </c>
      <c r="Z7" s="310" t="str">
        <f t="shared" si="3"/>
        <v>#NAME?</v>
      </c>
      <c r="AA7" s="310">
        <f>AA6</f>
        <v>1108.69</v>
      </c>
      <c r="AB7" s="310">
        <v>0.0</v>
      </c>
      <c r="AC7" s="310" t="str">
        <f>IF(AND(AB7&gt;0,AB7=MAX(AB$7:AB$17)),1,0)</f>
        <v>#DIV/0!</v>
      </c>
      <c r="AD7" s="310">
        <f>AA7</f>
        <v>1108.69</v>
      </c>
      <c r="AE7" s="251" t="str">
        <f>0.0000000002*(AD7-AD8)/($J8-$J7)</f>
        <v>#DIV/0!</v>
      </c>
      <c r="AF7" s="353">
        <f>AF6-(AF$6-AF$18)*0.25/$G$19</f>
        <v>18.66974672</v>
      </c>
      <c r="AG7" s="310" t="str">
        <f t="shared" si="4"/>
        <v>#NAME?</v>
      </c>
      <c r="AH7" s="310">
        <f>AH6</f>
        <v>1129.215</v>
      </c>
      <c r="AI7" s="310">
        <v>0.0</v>
      </c>
      <c r="AJ7" s="310" t="str">
        <f>IF(AND(AI7&gt;0,AI7=MAX(AI$7:AI$17)),1,0)</f>
        <v>#DIV/0!</v>
      </c>
      <c r="AK7" s="310">
        <f>AH7</f>
        <v>1129.215</v>
      </c>
      <c r="AL7" s="251" t="str">
        <f>0.0000000002*(AK7-AK8)/($J8-$J7)</f>
        <v>#DIV/0!</v>
      </c>
      <c r="AM7" s="353">
        <f>AM6-(AM$6-AM$18)*0.25/$G$19</f>
        <v>19.39865263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19.78132823</v>
      </c>
      <c r="BP7" s="310" t="str">
        <f t="shared" si="9"/>
        <v>#NAME?</v>
      </c>
      <c r="BQ7" s="310">
        <f>BQ6</f>
        <v>1557.46</v>
      </c>
      <c r="BR7" s="310">
        <v>0.0</v>
      </c>
      <c r="BS7" s="310" t="str">
        <f>IF(AND(BR7&gt;0,BR7=MAX(BR$7:BR$17)),1,0)</f>
        <v>#DIV/0!</v>
      </c>
      <c r="BT7" s="310">
        <f>BQ7</f>
        <v>1557.46</v>
      </c>
      <c r="BU7" s="251" t="str">
        <f>0.0000000002*(BT7-BT8)/($J8-$J7)</f>
        <v>#DIV/0!</v>
      </c>
      <c r="BV7" s="353">
        <f>BV6-(BV$6-BV$18)*0.25/$G$19</f>
        <v>18.65152408</v>
      </c>
      <c r="BW7" s="310" t="str">
        <f t="shared" si="10"/>
        <v>#NAME?</v>
      </c>
      <c r="BX7" s="310">
        <f>BX6</f>
        <v>1509.67</v>
      </c>
      <c r="BY7" s="310">
        <v>0.0</v>
      </c>
      <c r="BZ7" s="310" t="str">
        <f>IF(AND(BY7&gt;0,BY7=MAX(BY$7:BY$17)),1,0)</f>
        <v>#DIV/0!</v>
      </c>
      <c r="CA7" s="310">
        <f>BX7</f>
        <v>1509.67</v>
      </c>
      <c r="CB7" s="251" t="str">
        <f>0.0000000002*(CA7-CA8)/($J8-$J7)</f>
        <v>#DIV/0!</v>
      </c>
      <c r="CC7" s="353">
        <f>CC6-(CC$6-CC$18)*0.25/$G$19</f>
        <v>17.59461051</v>
      </c>
      <c r="CD7" s="310" t="str">
        <f t="shared" si="11"/>
        <v>#NAME?</v>
      </c>
      <c r="CE7" s="310">
        <f>CE6</f>
        <v>1429.06</v>
      </c>
      <c r="CF7" s="310">
        <v>0.0</v>
      </c>
      <c r="CG7" s="310" t="str">
        <f>IF(AND(CF7&gt;0,CF7=MAX(CF$7:CF$17)),1,0)</f>
        <v>#DIV/0!</v>
      </c>
      <c r="CH7" s="310">
        <f>CE7</f>
        <v>1429.06</v>
      </c>
      <c r="CI7" s="251" t="str">
        <f>0.0000000002*(CH7-CH8)/($J8-$J7)</f>
        <v>#DIV/0!</v>
      </c>
      <c r="CJ7" s="353">
        <f>CJ6-(CJ$6-CJ$18)*0.25/$G$19</f>
        <v>16.71992343</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16.28549551</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16.81613901</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17.76371668</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18.61653659</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19.37459873</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19.77258136</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18.59758504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17.49839493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16.58872037</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14.33732882</v>
      </c>
      <c r="L9" s="310" t="str">
        <f t="shared" si="1"/>
        <v>#NAME?</v>
      </c>
      <c r="M9" s="310" t="str">
        <f t="shared" si="15"/>
        <v>#DIV/0!</v>
      </c>
      <c r="N9" s="310" t="str">
        <f t="shared" si="16"/>
        <v>#DIV/0!</v>
      </c>
      <c r="O9" s="310" t="str">
        <f>IF(AND(N9&gt;0,N9=MAX(N$7:N$17)),3,0)</f>
        <v>#DIV/0!</v>
      </c>
      <c r="P9" s="310">
        <f t="shared" si="17"/>
        <v>1389.18</v>
      </c>
      <c r="Q9" s="251" t="str">
        <f t="shared" si="18"/>
        <v>#DIV/0!</v>
      </c>
      <c r="R9" s="353">
        <f t="shared" si="19"/>
        <v>15.14628184</v>
      </c>
      <c r="S9" s="310" t="str">
        <f t="shared" si="2"/>
        <v>#NAME?</v>
      </c>
      <c r="T9" s="310" t="str">
        <f t="shared" si="20"/>
        <v>#DIV/0!</v>
      </c>
      <c r="U9" s="310" t="str">
        <f t="shared" si="21"/>
        <v>#DIV/0!</v>
      </c>
      <c r="V9" s="310" t="str">
        <f>IF(AND(U9&gt;0,U9=MAX(U$7:U$17)),3,0)</f>
        <v>#DIV/0!</v>
      </c>
      <c r="W9" s="310">
        <f t="shared" si="22"/>
        <v>1354.44</v>
      </c>
      <c r="X9" s="251" t="str">
        <f t="shared" si="23"/>
        <v>#DIV/0!</v>
      </c>
      <c r="Y9" s="353">
        <f t="shared" si="24"/>
        <v>16.59084082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17.8909439</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19.04659108</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19.65330585</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17.86205272</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16.18636431</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14.79958769</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4</v>
      </c>
      <c r="D10" s="309" t="str">
        <f>'Calcoli componente'!E10</f>
        <v/>
      </c>
      <c r="E10" s="356">
        <f>'Calcoli componente'!G10</f>
        <v>0.075</v>
      </c>
      <c r="F10" s="357">
        <f>'Calcoli componente'!J10</f>
        <v>0</v>
      </c>
      <c r="G10" s="358">
        <f>'Calcoli componente'!K10</f>
        <v>0.5333333333</v>
      </c>
      <c r="H10" s="283"/>
      <c r="I10" s="329" t="s">
        <v>371</v>
      </c>
      <c r="J10" s="352">
        <f t="shared" si="13"/>
        <v>0</v>
      </c>
      <c r="K10" s="353">
        <f t="shared" si="14"/>
        <v>8.908437638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10.49294655</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13.32242674</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15.86895892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18.13254307</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19.32092475</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15.81236931</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12.53017229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9.8138713</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1.288941246</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3.961949639</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8.735178913</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13.03108526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16.84966868</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18.85442497</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12.93562067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7.398674717</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2.816374613</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0.9714622294</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3.689824768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8.544043587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12.91284052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16.79621558</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18.83498748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12.81575615</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7.184862318</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2.524812252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0.9714622294</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3.689824768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8.544043587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12.91284052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16.79621558</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18.83498748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12.81575615</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7.184862318</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2.524812252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0.9714622294</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3.689824768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8.544043587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12.91284052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16.79621558</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18.83498748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12.81575615</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7.184862318</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2.524812252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0.9714622294</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3.689824768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8.544043587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12.91284052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16.79621558</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18.83498748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12.81575615</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7.184862318</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2.524812252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0.9714622294</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3.689824768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8.544043587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12.91284052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16.79621558</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18.83498748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12.81575615</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7.184862318</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2.524812252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39</v>
      </c>
      <c r="D17" s="364"/>
      <c r="E17" s="366"/>
      <c r="F17" s="367">
        <f t="shared" ref="F17:G17" si="74">SUM(F$7:F$16)</f>
        <v>0</v>
      </c>
      <c r="G17" s="368">
        <f t="shared" si="74"/>
        <v>1.081919192</v>
      </c>
      <c r="H17" s="283"/>
      <c r="I17" s="329" t="s">
        <v>378</v>
      </c>
      <c r="J17" s="352">
        <f t="shared" si="13"/>
        <v>0</v>
      </c>
      <c r="K17" s="353">
        <f t="shared" si="14"/>
        <v>0.9714622294</v>
      </c>
      <c r="L17" s="310" t="str">
        <f t="shared" si="1"/>
        <v>#NAME?</v>
      </c>
      <c r="M17" s="310">
        <f>M18</f>
        <v>516</v>
      </c>
      <c r="N17" s="310" t="str">
        <f t="shared" si="16"/>
        <v>#NAME?</v>
      </c>
      <c r="O17" s="310" t="str">
        <f>IF(AND(N17&gt;0,N17=MAX(N$7:N$17)),11,0)</f>
        <v>#NAME?</v>
      </c>
      <c r="P17" s="310">
        <f>M17</f>
        <v>516</v>
      </c>
      <c r="Q17" s="369"/>
      <c r="R17" s="353">
        <f t="shared" si="19"/>
        <v>3.689824768</v>
      </c>
      <c r="S17" s="310" t="str">
        <f t="shared" si="2"/>
        <v>#NAME?</v>
      </c>
      <c r="T17" s="310">
        <f>T18</f>
        <v>606</v>
      </c>
      <c r="U17" s="310" t="str">
        <f t="shared" si="21"/>
        <v>#NAME?</v>
      </c>
      <c r="V17" s="310" t="str">
        <f>IF(AND(U17&gt;0,U17=MAX(U$7:U$17)),11,0)</f>
        <v>#NAME?</v>
      </c>
      <c r="W17" s="310">
        <f>T17</f>
        <v>606</v>
      </c>
      <c r="X17" s="369"/>
      <c r="Y17" s="353">
        <f t="shared" si="24"/>
        <v>8.544043587</v>
      </c>
      <c r="Z17" s="310" t="str">
        <f t="shared" si="3"/>
        <v>#NAME?</v>
      </c>
      <c r="AA17" s="310">
        <f>AA18</f>
        <v>583</v>
      </c>
      <c r="AB17" s="310" t="str">
        <f t="shared" si="26"/>
        <v>#NAME?</v>
      </c>
      <c r="AC17" s="310" t="str">
        <f>IF(AND(AB17&gt;0,AB17=MAX(AB$7:AB$17)),11,0)</f>
        <v>#NAME?</v>
      </c>
      <c r="AD17" s="310">
        <f>AA17</f>
        <v>583</v>
      </c>
      <c r="AE17" s="369"/>
      <c r="AF17" s="353">
        <f t="shared" si="29"/>
        <v>12.91284052</v>
      </c>
      <c r="AG17" s="310" t="str">
        <f t="shared" si="4"/>
        <v>#NAME?</v>
      </c>
      <c r="AH17" s="310">
        <f>AH18</f>
        <v>804</v>
      </c>
      <c r="AI17" s="310" t="str">
        <f t="shared" si="31"/>
        <v>#NAME?</v>
      </c>
      <c r="AJ17" s="310" t="str">
        <f>IF(AND(AI17&gt;0,AI17=MAX(AI$7:AI$17)),11,0)</f>
        <v>#NAME?</v>
      </c>
      <c r="AK17" s="310">
        <f>AH17</f>
        <v>804</v>
      </c>
      <c r="AL17" s="369"/>
      <c r="AM17" s="353">
        <f t="shared" si="34"/>
        <v>16.79621558</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18.83498748</v>
      </c>
      <c r="BP17" s="310" t="str">
        <f t="shared" si="9"/>
        <v>#NAME?</v>
      </c>
      <c r="BQ17" s="310">
        <f>BQ18</f>
        <v>1504</v>
      </c>
      <c r="BR17" s="310" t="str">
        <f t="shared" si="56"/>
        <v>#NAME?</v>
      </c>
      <c r="BS17" s="310" t="str">
        <f>IF(AND(BR17&gt;0,BR17=MAX(BR$7:BR$17)),11,0)</f>
        <v>#NAME?</v>
      </c>
      <c r="BT17" s="310">
        <f>BQ17</f>
        <v>1504</v>
      </c>
      <c r="BU17" s="369"/>
      <c r="BV17" s="353">
        <f t="shared" si="59"/>
        <v>12.81575615</v>
      </c>
      <c r="BW17" s="310" t="str">
        <f t="shared" si="10"/>
        <v>#NAME?</v>
      </c>
      <c r="BX17" s="310">
        <f>BX18</f>
        <v>1180</v>
      </c>
      <c r="BY17" s="310" t="str">
        <f t="shared" si="61"/>
        <v>#NAME?</v>
      </c>
      <c r="BZ17" s="310" t="str">
        <f>IF(AND(BY17&gt;0,BY17=MAX(BY$7:BY$17)),11,0)</f>
        <v>#NAME?</v>
      </c>
      <c r="CA17" s="310">
        <f>BX17</f>
        <v>1180</v>
      </c>
      <c r="CB17" s="369"/>
      <c r="CC17" s="353">
        <f t="shared" si="64"/>
        <v>7.184862318</v>
      </c>
      <c r="CD17" s="310" t="str">
        <f t="shared" si="11"/>
        <v>#NAME?</v>
      </c>
      <c r="CE17" s="310">
        <f>CE18</f>
        <v>841</v>
      </c>
      <c r="CF17" s="310" t="str">
        <f t="shared" si="66"/>
        <v>#NAME?</v>
      </c>
      <c r="CG17" s="310" t="str">
        <f>IF(AND(CF17&gt;0,CF17=MAX(CF$7:CF$17)),11,0)</f>
        <v>#NAME?</v>
      </c>
      <c r="CH17" s="310">
        <f>CE17</f>
        <v>841</v>
      </c>
      <c r="CI17" s="369"/>
      <c r="CJ17" s="353">
        <f t="shared" si="69"/>
        <v>2.524812252</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1.371919192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0.8177735238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0.7740422205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37</v>
      </c>
      <c r="C8" s="427">
        <f>C7+'Caratteristiche componente'!$D10</f>
        <v>37</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39</v>
      </c>
      <c r="C9" s="427">
        <f>C8+'Caratteristiche componente'!$D11</f>
        <v>39</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39</v>
      </c>
      <c r="C10" s="427">
        <f>C9+'Caratteristiche componente'!$D12</f>
        <v>39</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39</v>
      </c>
      <c r="C11" s="427">
        <f>C10+'Caratteristiche componente'!$D13</f>
        <v>39</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39</v>
      </c>
      <c r="C12" s="427">
        <f>C11+'Caratteristiche componente'!$D14</f>
        <v>39</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39</v>
      </c>
      <c r="C13" s="427">
        <f>C12+'Caratteristiche componente'!$D15</f>
        <v>39</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39</v>
      </c>
      <c r="C14" s="427">
        <f>C13+'Caratteristiche componente'!$D16</f>
        <v>39</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