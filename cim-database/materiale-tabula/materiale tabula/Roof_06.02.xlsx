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imese">#REF!</definedName>
    <definedName name="pvs_t">#REF!</definedName>
    <definedName name="tsat">#REF!</definedName>
    <definedName name="ngiorni">#REF!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<sst xmlns="http://schemas.openxmlformats.org/spreadsheetml/2006/main" count="1624" uniqueCount="659">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</sst>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139873096"/>
        <c:axId val="41032224"/>
      </c:scatterChart>
      <c:valAx>
        <c:axId val="213987309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032224"/>
      </c:valAx>
      <c:valAx>
        <c:axId val="4103222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987309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24299008"/>
        <c:axId val="778695989"/>
      </c:scatterChart>
      <c:valAx>
        <c:axId val="22429900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8695989"/>
      </c:valAx>
      <c:valAx>
        <c:axId val="77869598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24299008"/>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02302202"/>
        <c:axId val="1867505536"/>
      </c:scatterChart>
      <c:valAx>
        <c:axId val="10230220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67505536"/>
      </c:valAx>
      <c:valAx>
        <c:axId val="186750553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30220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2804684"/>
        <c:axId val="1591185403"/>
      </c:scatterChart>
      <c:valAx>
        <c:axId val="4280468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1185403"/>
      </c:valAx>
      <c:valAx>
        <c:axId val="1591185403"/>
        <c:scaling>
          <c:orientation val="minMax"/>
        </c:scaling>
        <c:delete val="0"/>
        <c:axPos val="l"/>
        <c:tickLblPos val="nextTo"/>
        <c:spPr>
          <a:ln>
            <a:noFill/>
          </a:ln>
        </c:spPr>
        <c:crossAx val="4280468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74122579"/>
        <c:axId val="1486643142"/>
      </c:scatterChart>
      <c:valAx>
        <c:axId val="27412257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6643142"/>
      </c:valAx>
      <c:valAx>
        <c:axId val="1486643142"/>
        <c:scaling>
          <c:orientation val="minMax"/>
        </c:scaling>
        <c:delete val="0"/>
        <c:axPos val="l"/>
        <c:tickLblPos val="nextTo"/>
        <c:spPr>
          <a:ln>
            <a:noFill/>
          </a:ln>
        </c:spPr>
        <c:crossAx val="274122579"/>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852299393"/>
        <c:axId val="344759200"/>
      </c:scatterChart>
      <c:valAx>
        <c:axId val="18522993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4759200"/>
      </c:valAx>
      <c:valAx>
        <c:axId val="34475920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2299393"/>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18.0</v>
      </c>
      <c r="E8" s="74"/>
      <c r="F8" s="75"/>
      <c r="G8" s="76"/>
      <c r="H8" s="77"/>
      <c r="I8" s="78">
        <v>0.3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t="s">
        <v>46</v>
      </c>
      <c r="D9" s="73">
        <v>2.0</v>
      </c>
      <c r="E9" s="74"/>
      <c r="F9" s="75"/>
      <c r="G9" s="76"/>
      <c r="H9" s="85">
        <v>0.046</v>
      </c>
      <c r="I9" s="86"/>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91"/>
      <c r="I10" s="86"/>
      <c r="J10" s="79"/>
      <c r="K10" s="18"/>
      <c r="L10" s="18"/>
      <c r="M10" s="92" t="s">
        <v>50</v>
      </c>
      <c r="N10" s="93" t="str">
        <f>'Calcoli componente'!$E$44</f>
        <v>#DIV/0!</v>
      </c>
      <c r="O10" s="94" t="s">
        <v>51</v>
      </c>
      <c r="P10" s="95"/>
      <c r="Q10" s="96"/>
      <c r="R10" s="18"/>
      <c r="S10" s="18"/>
      <c r="T10" s="18"/>
      <c r="U10" s="18"/>
      <c r="V10" s="18"/>
      <c r="W10" s="18"/>
      <c r="X10" s="18"/>
      <c r="Y10" s="18"/>
      <c r="Z10" s="18"/>
      <c r="AA10" s="18"/>
      <c r="AB10" s="45" t="s">
        <v>52</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0.8858937198</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1.128803577</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Chiusura superiore</v>
      </c>
      <c r="AC13" s="107">
        <f>DGET($AB$4:$AD$10,"Rsi",$AB$12:$AB$13)</f>
        <v>0.1</v>
      </c>
      <c r="AD13" s="107">
        <f>DGET($AB$4:$AD$10,"Rse",$AB$12:$AB$13)</f>
        <v>0.04</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21</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0.04</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18</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v>
      </c>
      <c r="H8" s="159" t="str">
        <f t="shared" si="1"/>
        <v>#DIV/0!</v>
      </c>
      <c r="I8" s="160">
        <f t="shared" si="2"/>
        <v>0</v>
      </c>
      <c r="J8" s="161">
        <f>IF($C8&gt;0,IF(OR('Caratteristiche componente'!$C8="intercapedine",'Caratteristiche componente'!$C8="aria",'Caratteristiche componente'!$C8="intercapedine d'aria"),0.01,$C8/100*$E8),0)</f>
        <v>0</v>
      </c>
      <c r="K8" s="77">
        <f t="shared" si="3"/>
        <v>0.3</v>
      </c>
      <c r="L8" s="77">
        <f t="shared" si="4"/>
        <v>3.333333333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8">
        <f>'Caratteristiche componente'!D9</f>
        <v>2</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0.046</v>
      </c>
      <c r="H9" s="159" t="str">
        <f t="shared" si="1"/>
        <v>#DIV/0!</v>
      </c>
      <c r="I9" s="160">
        <f t="shared" si="2"/>
        <v>0</v>
      </c>
      <c r="J9" s="161">
        <f>IF($C9&gt;0,IF(OR('Caratteristiche componente'!$C9="intercapedine",'Caratteristiche componente'!$C9="aria",'Caratteristiche componente'!$C9="intercapedine d'aria"),0.01,$C9/100*$E9),0)</f>
        <v>0</v>
      </c>
      <c r="K9" s="77">
        <f t="shared" si="3"/>
        <v>0.4347826087</v>
      </c>
      <c r="L9" s="77">
        <f t="shared" si="4"/>
        <v>2.3</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21</v>
      </c>
      <c r="D17" s="189"/>
      <c r="E17" s="191"/>
      <c r="F17" s="191"/>
      <c r="G17" s="191"/>
      <c r="H17" s="192"/>
      <c r="I17" s="193">
        <f t="shared" ref="I17:K17" si="32">SUM(I$7:I$16)</f>
        <v>0</v>
      </c>
      <c r="J17" s="194">
        <f t="shared" si="32"/>
        <v>0</v>
      </c>
      <c r="K17" s="194">
        <f t="shared" si="32"/>
        <v>0.7458937198</v>
      </c>
      <c r="L17" s="195">
        <f t="shared" si="4"/>
        <v>1.340673575</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v>
      </c>
      <c r="L21" s="156">
        <f t="shared" ref="L21:L22" si="34">1/K21</f>
        <v>10</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v>
      </c>
      <c r="AD21" s="153">
        <v>0.0</v>
      </c>
      <c r="AE21" s="153">
        <f t="shared" ref="AE21:AE22" si="39">SQRT(AC21^2+AD21^2)</f>
        <v>0.1</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0.8858937198</v>
      </c>
      <c r="L26" s="217">
        <f>1/$K$26</f>
        <v>1.128803577</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366</v>
      </c>
      <c r="J7" s="352">
        <f>0</f>
        <v>0</v>
      </c>
      <c r="K7" s="353">
        <f>K6-(K$6-K$18)*0.25/$G$19</f>
        <v>15.26978501</v>
      </c>
      <c r="L7" s="310" t="str">
        <f t="shared" si="1"/>
        <v>#NAME?</v>
      </c>
      <c r="M7" s="310">
        <f>M6</f>
        <v>1389.18</v>
      </c>
      <c r="N7" s="310">
        <v>0.0</v>
      </c>
      <c r="O7" s="310" t="str">
        <f>IF(AND(N7&gt;0,N7=MAX(N$7:N$17)),1,0)</f>
        <v>#DIV/0!</v>
      </c>
      <c r="P7" s="310">
        <f>M7</f>
        <v>1389.18</v>
      </c>
      <c r="Q7" s="251" t="str">
        <f>0.0000000002*(P7-P8)/($J8-$J7)</f>
        <v>#DIV/0!</v>
      </c>
      <c r="R7" s="353">
        <f>R6-(R$6-R$18)*0.25/$G$19</f>
        <v>15.94553001</v>
      </c>
      <c r="S7" s="310" t="str">
        <f t="shared" si="2"/>
        <v>#NAME?</v>
      </c>
      <c r="T7" s="310">
        <f>T6</f>
        <v>1354.44</v>
      </c>
      <c r="U7" s="310">
        <v>0.0</v>
      </c>
      <c r="V7" s="310" t="str">
        <f>IF(AND(U7&gt;0,U7=MAX(U$7:U$17)),1,0)</f>
        <v>#DIV/0!</v>
      </c>
      <c r="W7" s="310">
        <f>T7</f>
        <v>1354.44</v>
      </c>
      <c r="X7" s="251" t="str">
        <f>0.0000000002*(W7-W8)/($J8-$J7)</f>
        <v>#DIV/0!</v>
      </c>
      <c r="Y7" s="353">
        <f>Y6-(Y$6-Y$18)*0.25/$G$19</f>
        <v>17.15221751</v>
      </c>
      <c r="Z7" s="310" t="str">
        <f t="shared" si="3"/>
        <v>#NAME?</v>
      </c>
      <c r="AA7" s="310">
        <f>AA6</f>
        <v>1108.69</v>
      </c>
      <c r="AB7" s="310">
        <v>0.0</v>
      </c>
      <c r="AC7" s="310" t="str">
        <f>IF(AND(AB7&gt;0,AB7=MAX(AB$7:AB$17)),1,0)</f>
        <v>#DIV/0!</v>
      </c>
      <c r="AD7" s="310">
        <f>AA7</f>
        <v>1108.69</v>
      </c>
      <c r="AE7" s="251" t="str">
        <f>0.0000000002*(AD7-AD8)/($J8-$J7)</f>
        <v>#DIV/0!</v>
      </c>
      <c r="AF7" s="353">
        <f>AF6-(AF$6-AF$18)*0.25/$G$19</f>
        <v>18.23823625</v>
      </c>
      <c r="AG7" s="310" t="str">
        <f t="shared" si="4"/>
        <v>#NAME?</v>
      </c>
      <c r="AH7" s="310">
        <f>AH6</f>
        <v>1129.215</v>
      </c>
      <c r="AI7" s="310">
        <v>0.0</v>
      </c>
      <c r="AJ7" s="310" t="str">
        <f>IF(AND(AI7&gt;0,AI7=MAX(AI$7:AI$17)),1,0)</f>
        <v>#DIV/0!</v>
      </c>
      <c r="AK7" s="310">
        <f>AH7</f>
        <v>1129.215</v>
      </c>
      <c r="AL7" s="251" t="str">
        <f>0.0000000002*(AK7-AK8)/($J8-$J7)</f>
        <v>#DIV/0!</v>
      </c>
      <c r="AM7" s="353">
        <f>AM6-(AM$6-AM$18)*0.25/$G$19</f>
        <v>19.20358625</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19.710395</v>
      </c>
      <c r="BP7" s="310" t="str">
        <f t="shared" si="9"/>
        <v>#NAME?</v>
      </c>
      <c r="BQ7" s="310">
        <f>BQ6</f>
        <v>1557.46</v>
      </c>
      <c r="BR7" s="310">
        <v>0.0</v>
      </c>
      <c r="BS7" s="310" t="str">
        <f>IF(AND(BR7&gt;0,BR7=MAX(BR$7:BR$17)),1,0)</f>
        <v>#DIV/0!</v>
      </c>
      <c r="BT7" s="310">
        <f>BQ7</f>
        <v>1557.46</v>
      </c>
      <c r="BU7" s="251" t="str">
        <f>0.0000000002*(BT7-BT8)/($J8-$J7)</f>
        <v>#DIV/0!</v>
      </c>
      <c r="BV7" s="353">
        <f>BV6-(BV$6-BV$18)*0.25/$G$19</f>
        <v>18.2141025</v>
      </c>
      <c r="BW7" s="310" t="str">
        <f t="shared" si="10"/>
        <v>#NAME?</v>
      </c>
      <c r="BX7" s="310">
        <f>BX6</f>
        <v>1509.67</v>
      </c>
      <c r="BY7" s="310">
        <v>0.0</v>
      </c>
      <c r="BZ7" s="310" t="str">
        <f>IF(AND(BY7&gt;0,BY7=MAX(BY$7:BY$17)),1,0)</f>
        <v>#DIV/0!</v>
      </c>
      <c r="CA7" s="310">
        <f>BX7</f>
        <v>1509.67</v>
      </c>
      <c r="CB7" s="251" t="str">
        <f>0.0000000002*(CA7-CA8)/($J8-$J7)</f>
        <v>#DIV/0!</v>
      </c>
      <c r="CC7" s="353">
        <f>CC6-(CC$6-CC$18)*0.25/$G$19</f>
        <v>16.81434501</v>
      </c>
      <c r="CD7" s="310" t="str">
        <f t="shared" si="11"/>
        <v>#NAME?</v>
      </c>
      <c r="CE7" s="310">
        <f>CE6</f>
        <v>1429.06</v>
      </c>
      <c r="CF7" s="310">
        <v>0.0</v>
      </c>
      <c r="CG7" s="310" t="str">
        <f>IF(AND(CF7&gt;0,CF7=MAX(CF$7:CF$17)),1,0)</f>
        <v>#DIV/0!</v>
      </c>
      <c r="CH7" s="310">
        <f>CE7</f>
        <v>1429.06</v>
      </c>
      <c r="CI7" s="251" t="str">
        <f>0.0000000002*(CH7-CH8)/($J8-$J7)</f>
        <v>#DIV/0!</v>
      </c>
      <c r="CJ7" s="353">
        <f>CJ6-(CJ$6-CJ$18)*0.25/$G$19</f>
        <v>15.65592501</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18</v>
      </c>
      <c r="D8" s="309" t="str">
        <f>'Calcoli componente'!E8</f>
        <v/>
      </c>
      <c r="E8" s="356">
        <f>'Calcoli componente'!G8</f>
        <v>0.6</v>
      </c>
      <c r="F8" s="357">
        <f>'Calcoli componente'!J8</f>
        <v>0</v>
      </c>
      <c r="G8" s="358">
        <f>'Calcoli componente'!K8</f>
        <v>0.3</v>
      </c>
      <c r="H8" s="283"/>
      <c r="I8" s="329" t="s">
        <v>367</v>
      </c>
      <c r="J8" s="352">
        <f t="shared" ref="J8:J17" si="13">J7+F7</f>
        <v>0</v>
      </c>
      <c r="K8" s="353">
        <f t="shared" ref="K8:K17" si="14">K7-(K$6-K$18)*$G7/$G$19</f>
        <v>15.05955323</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15.76533134</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17.0256494</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18.15993564</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19.16819009</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19.69752367</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18.13472928</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16.67276034</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15.46285501</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v>
      </c>
      <c r="C9" s="355">
        <f>'Calcoli componente'!C9</f>
        <v>2</v>
      </c>
      <c r="D9" s="309" t="str">
        <f>'Calcoli componente'!E9</f>
        <v/>
      </c>
      <c r="E9" s="356">
        <f>'Calcoli componente'!G9</f>
        <v>0.046</v>
      </c>
      <c r="F9" s="357">
        <f>'Calcoli componente'!J9</f>
        <v>0</v>
      </c>
      <c r="G9" s="358">
        <f>'Calcoli componente'!K9</f>
        <v>0.4347826087</v>
      </c>
      <c r="H9" s="283"/>
      <c r="I9" s="329" t="s">
        <v>368</v>
      </c>
      <c r="J9" s="352">
        <f t="shared" si="13"/>
        <v>0</v>
      </c>
      <c r="K9" s="353">
        <f t="shared" si="14"/>
        <v>9.383295248</v>
      </c>
      <c r="L9" s="310" t="str">
        <f t="shared" si="1"/>
        <v>#NAME?</v>
      </c>
      <c r="M9" s="310" t="str">
        <f t="shared" si="15"/>
        <v>#DIV/0!</v>
      </c>
      <c r="N9" s="310" t="str">
        <f t="shared" si="16"/>
        <v>#DIV/0!</v>
      </c>
      <c r="O9" s="310" t="str">
        <f>IF(AND(N9&gt;0,N9=MAX(N$7:N$17)),3,0)</f>
        <v>#DIV/0!</v>
      </c>
      <c r="P9" s="310">
        <f t="shared" si="17"/>
        <v>1389.18</v>
      </c>
      <c r="Q9" s="251" t="str">
        <f t="shared" si="18"/>
        <v>#DIV/0!</v>
      </c>
      <c r="R9" s="353">
        <f t="shared" si="19"/>
        <v>10.89996736</v>
      </c>
      <c r="S9" s="310" t="str">
        <f t="shared" si="2"/>
        <v>#NAME?</v>
      </c>
      <c r="T9" s="310" t="str">
        <f t="shared" si="20"/>
        <v>#DIV/0!</v>
      </c>
      <c r="U9" s="310" t="str">
        <f t="shared" si="21"/>
        <v>#DIV/0!</v>
      </c>
      <c r="V9" s="310" t="str">
        <f>IF(AND(U9&gt;0,U9=MAX(U$7:U$17)),3,0)</f>
        <v>#DIV/0!</v>
      </c>
      <c r="W9" s="310">
        <f t="shared" si="22"/>
        <v>1354.44</v>
      </c>
      <c r="X9" s="251" t="str">
        <f t="shared" si="23"/>
        <v>#DIV/0!</v>
      </c>
      <c r="Y9" s="353">
        <f t="shared" si="24"/>
        <v>13.6083104</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16.04581915</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18.21249359</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19.34999767</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15.99165229</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12.84997435</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10.24996502</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1.156834398</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3.848715198</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8.655645199</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12.9818822</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16.8274262</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18.8463368</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12.8857436</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7.309704799</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2.695051998</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1.156834398</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3.848715198</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8.655645199</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12.9818822</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16.8274262</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18.8463368</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12.8857436</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7.309704799</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2.695051998</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1.156834398</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3.848715198</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8.655645199</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12.9818822</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16.8274262</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18.8463368</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12.8857436</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7.309704799</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2.695051998</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1.156834398</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3.848715198</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8.655645199</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12.9818822</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16.8274262</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18.8463368</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12.8857436</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7.309704799</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2.695051998</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1.156834398</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3.848715198</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8.655645199</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12.9818822</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16.8274262</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18.8463368</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12.8857436</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7.309704799</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2.695051998</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1.156834398</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3.848715198</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8.655645199</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12.9818822</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16.8274262</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18.8463368</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12.8857436</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7.309704799</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2.695051998</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1.156834398</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3.848715198</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8.655645199</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12.9818822</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16.8274262</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18.8463368</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12.8857436</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7.309704799</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2.695051998</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21</v>
      </c>
      <c r="D17" s="364"/>
      <c r="E17" s="366"/>
      <c r="F17" s="367">
        <f t="shared" ref="F17:G17" si="74">SUM(F$7:F$16)</f>
        <v>0</v>
      </c>
      <c r="G17" s="368">
        <f t="shared" si="74"/>
        <v>0.7458937198</v>
      </c>
      <c r="H17" s="283"/>
      <c r="I17" s="329" t="s">
        <v>376</v>
      </c>
      <c r="J17" s="352">
        <f t="shared" si="13"/>
        <v>0</v>
      </c>
      <c r="K17" s="353">
        <f t="shared" si="14"/>
        <v>1.156834398</v>
      </c>
      <c r="L17" s="310" t="str">
        <f t="shared" si="1"/>
        <v>#NAME?</v>
      </c>
      <c r="M17" s="310">
        <f>M18</f>
        <v>516</v>
      </c>
      <c r="N17" s="310" t="str">
        <f t="shared" si="16"/>
        <v>#NAME?</v>
      </c>
      <c r="O17" s="310" t="str">
        <f>IF(AND(N17&gt;0,N17=MAX(N$7:N$17)),11,0)</f>
        <v>#NAME?</v>
      </c>
      <c r="P17" s="310">
        <f>M17</f>
        <v>516</v>
      </c>
      <c r="Q17" s="369"/>
      <c r="R17" s="353">
        <f t="shared" si="19"/>
        <v>3.848715198</v>
      </c>
      <c r="S17" s="310" t="str">
        <f t="shared" si="2"/>
        <v>#NAME?</v>
      </c>
      <c r="T17" s="310">
        <f>T18</f>
        <v>606</v>
      </c>
      <c r="U17" s="310" t="str">
        <f t="shared" si="21"/>
        <v>#NAME?</v>
      </c>
      <c r="V17" s="310" t="str">
        <f>IF(AND(U17&gt;0,U17=MAX(U$7:U$17)),11,0)</f>
        <v>#NAME?</v>
      </c>
      <c r="W17" s="310">
        <f>T17</f>
        <v>606</v>
      </c>
      <c r="X17" s="369"/>
      <c r="Y17" s="353">
        <f t="shared" si="24"/>
        <v>8.655645199</v>
      </c>
      <c r="Z17" s="310" t="str">
        <f t="shared" si="3"/>
        <v>#NAME?</v>
      </c>
      <c r="AA17" s="310">
        <f>AA18</f>
        <v>583</v>
      </c>
      <c r="AB17" s="310" t="str">
        <f t="shared" si="26"/>
        <v>#NAME?</v>
      </c>
      <c r="AC17" s="310" t="str">
        <f>IF(AND(AB17&gt;0,AB17=MAX(AB$7:AB$17)),11,0)</f>
        <v>#NAME?</v>
      </c>
      <c r="AD17" s="310">
        <f>AA17</f>
        <v>583</v>
      </c>
      <c r="AE17" s="369"/>
      <c r="AF17" s="353">
        <f t="shared" si="29"/>
        <v>12.9818822</v>
      </c>
      <c r="AG17" s="310" t="str">
        <f t="shared" si="4"/>
        <v>#NAME?</v>
      </c>
      <c r="AH17" s="310">
        <f>AH18</f>
        <v>804</v>
      </c>
      <c r="AI17" s="310" t="str">
        <f t="shared" si="31"/>
        <v>#NAME?</v>
      </c>
      <c r="AJ17" s="310" t="str">
        <f>IF(AND(AI17&gt;0,AI17=MAX(AI$7:AI$17)),11,0)</f>
        <v>#NAME?</v>
      </c>
      <c r="AK17" s="310">
        <f>AH17</f>
        <v>804</v>
      </c>
      <c r="AL17" s="369"/>
      <c r="AM17" s="353">
        <f t="shared" si="34"/>
        <v>16.8274262</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18.8463368</v>
      </c>
      <c r="BP17" s="310" t="str">
        <f t="shared" si="9"/>
        <v>#NAME?</v>
      </c>
      <c r="BQ17" s="310">
        <f>BQ18</f>
        <v>1504</v>
      </c>
      <c r="BR17" s="310" t="str">
        <f t="shared" si="56"/>
        <v>#NAME?</v>
      </c>
      <c r="BS17" s="310" t="str">
        <f>IF(AND(BR17&gt;0,BR17=MAX(BR$7:BR$17)),11,0)</f>
        <v>#NAME?</v>
      </c>
      <c r="BT17" s="310">
        <f>BQ17</f>
        <v>1504</v>
      </c>
      <c r="BU17" s="369"/>
      <c r="BV17" s="353">
        <f t="shared" si="59"/>
        <v>12.8857436</v>
      </c>
      <c r="BW17" s="310" t="str">
        <f t="shared" si="10"/>
        <v>#NAME?</v>
      </c>
      <c r="BX17" s="310">
        <f>BX18</f>
        <v>1180</v>
      </c>
      <c r="BY17" s="310" t="str">
        <f t="shared" si="61"/>
        <v>#NAME?</v>
      </c>
      <c r="BZ17" s="310" t="str">
        <f>IF(AND(BY17&gt;0,BY17=MAX(BY$7:BY$17)),11,0)</f>
        <v>#NAME?</v>
      </c>
      <c r="CA17" s="310">
        <f>BX17</f>
        <v>1180</v>
      </c>
      <c r="CB17" s="369"/>
      <c r="CC17" s="353">
        <f t="shared" si="64"/>
        <v>7.309704799</v>
      </c>
      <c r="CD17" s="310" t="str">
        <f t="shared" si="11"/>
        <v>#NAME?</v>
      </c>
      <c r="CE17" s="310">
        <f>CE18</f>
        <v>841</v>
      </c>
      <c r="CF17" s="310" t="str">
        <f t="shared" si="66"/>
        <v>#NAME?</v>
      </c>
      <c r="CG17" s="310" t="str">
        <f>IF(AND(CF17&gt;0,CF17=MAX(CF$7:CF$17)),11,0)</f>
        <v>#NAME?</v>
      </c>
      <c r="CH17" s="310">
        <f>CE17</f>
        <v>841</v>
      </c>
      <c r="CI17" s="369"/>
      <c r="CJ17" s="353">
        <f t="shared" si="69"/>
        <v>2.695051998</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1.03589372</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0.7586625006</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1.128803577</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19</v>
      </c>
      <c r="C6" s="427">
        <f>C5+'Caratteristiche componente'!$D8</f>
        <v>19</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21</v>
      </c>
      <c r="C7" s="427">
        <f>C6+'Caratteristiche componente'!$D9</f>
        <v>21</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21</v>
      </c>
      <c r="C8" s="427">
        <f>C7+'Caratteristiche componente'!$D10</f>
        <v>21</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21</v>
      </c>
      <c r="C9" s="427">
        <f>C8+'Caratteristiche componente'!$D11</f>
        <v>21</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21</v>
      </c>
      <c r="C10" s="427">
        <f>C9+'Caratteristiche componente'!$D12</f>
        <v>21</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21</v>
      </c>
      <c r="C11" s="427">
        <f>C10+'Caratteristiche componente'!$D13</f>
        <v>21</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21</v>
      </c>
      <c r="C12" s="427">
        <f>C11+'Caratteristiche componente'!$D14</f>
        <v>21</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21</v>
      </c>
      <c r="C13" s="427">
        <f>C12+'Caratteristiche componente'!$D15</f>
        <v>21</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21</v>
      </c>
      <c r="C14" s="427">
        <f>C13+'Caratteristiche componente'!$D16</f>
        <v>21</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