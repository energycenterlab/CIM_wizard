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imese">#REF!</definedName>
    <definedName localSheetId="9" name="OLE_LINK1">Materiali!$C$2</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<sst xmlns="http://schemas.openxmlformats.org/spreadsheetml/2006/main" count="1625" uniqueCount="660">
  <si>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</si>
  <si>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</si>
  <si>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</si>
  <si>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</si>
  <si>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</si>
  <si>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</si>
  <si>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</si>
  <si>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</si>
  <si>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</si>
  <si>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</si>
  <si>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</si>
  <si>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</si>
  <si>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</si>
  <si>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</si>
  <si>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</si>
  <si>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</si>
  <si>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</si>
  <si>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</si>
  <si>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</si>
  <si>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</si>
  <si>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</si>
  <si>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</si>
  <si>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</si>
  <si>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</si>
  <si>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</si>
  <si>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</si>
  <si>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</si>
  <si>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</si>
  <si>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</si>
  <si>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</si>
  <si>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</si>
  <si>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</si>
  <si>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</si>
  <si>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</si>
  <si>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</si>
  <si>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</si>
  <si>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</si>
  <si>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</si>
  <si>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</si>
  <si>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</si>
  <si>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</si>
  <si>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</si>
  <si>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alveolato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</si>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</sst>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617119954"/>
        <c:axId val="1544867423"/>
      </c:scatterChart>
      <c:valAx>
        <c:axId val="161711995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4867423"/>
      </c:valAx>
      <c:valAx>
        <c:axId val="154486742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711995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56318641"/>
        <c:axId val="1170130323"/>
      </c:scatterChart>
      <c:valAx>
        <c:axId val="6563186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0130323"/>
      </c:valAx>
      <c:valAx>
        <c:axId val="117013032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63186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30409988"/>
        <c:axId val="181276513"/>
      </c:scatterChart>
      <c:valAx>
        <c:axId val="183040998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276513"/>
      </c:valAx>
      <c:valAx>
        <c:axId val="18127651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040998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53364659"/>
        <c:axId val="605745252"/>
      </c:scatterChart>
      <c:valAx>
        <c:axId val="165336465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5745252"/>
      </c:valAx>
      <c:valAx>
        <c:axId val="605745252"/>
        <c:scaling>
          <c:orientation val="minMax"/>
        </c:scaling>
        <c:delete val="0"/>
        <c:axPos val="l"/>
        <c:tickLblPos val="nextTo"/>
        <c:spPr>
          <a:ln>
            <a:noFill/>
          </a:ln>
        </c:spPr>
        <c:crossAx val="165336465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9776921"/>
        <c:axId val="639471970"/>
      </c:scatterChart>
      <c:valAx>
        <c:axId val="997769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9471970"/>
      </c:valAx>
      <c:valAx>
        <c:axId val="639471970"/>
        <c:scaling>
          <c:orientation val="minMax"/>
        </c:scaling>
        <c:delete val="0"/>
        <c:axPos val="l"/>
        <c:tickLblPos val="nextTo"/>
        <c:spPr>
          <a:ln>
            <a:noFill/>
          </a:ln>
        </c:spPr>
        <c:crossAx val="9977692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120957125"/>
        <c:axId val="1356074809"/>
      </c:scatterChart>
      <c:valAx>
        <c:axId val="2120957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6074809"/>
      </c:valAx>
      <c:valAx>
        <c:axId val="135607480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095712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30.0</v>
      </c>
      <c r="E8" s="74">
        <v>750.0</v>
      </c>
      <c r="F8" s="75"/>
      <c r="G8" s="76">
        <v>840.0</v>
      </c>
      <c r="H8" s="77">
        <v>0.15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3.0</v>
      </c>
      <c r="E9" s="74"/>
      <c r="F9" s="75"/>
      <c r="G9" s="76"/>
      <c r="H9" s="77">
        <v>0.04</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2.970793651</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0.3366103868</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37</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289</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66479.46667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alveolato</v>
      </c>
      <c r="C8" s="156">
        <f>'Caratteristiche componente'!D8</f>
        <v>30</v>
      </c>
      <c r="D8" s="74">
        <f>IF('Caratteristiche componente'!E8&lt;&gt;"",'Caratteristiche componente'!E8,"")</f>
        <v>750</v>
      </c>
      <c r="E8" s="74" t="str">
        <f>IF('Caratteristiche componente'!F8&lt;&gt;"",'Caratteristiche componente'!F8,"")</f>
        <v/>
      </c>
      <c r="F8" s="76">
        <f>IF('Caratteristiche componente'!G8&lt;&gt;"",'Caratteristiche componente'!G8,"")</f>
        <v>840</v>
      </c>
      <c r="G8" s="77">
        <f>IF('Caratteristiche componente'!H8&lt;&gt;"",'Caratteristiche componente'!H8,IF('Caratteristiche componente'!I8&lt;&gt;"",C8/100/'Caratteristiche componente'!I8,""))</f>
        <v>0.15</v>
      </c>
      <c r="H8" s="157">
        <f t="shared" si="1"/>
        <v>0.0000002380952381</v>
      </c>
      <c r="I8" s="158">
        <f t="shared" si="2"/>
        <v>225</v>
      </c>
      <c r="J8" s="159">
        <f>IF($C8&gt;0,IF(OR('Caratteristiche componente'!$C8="intercapedine",'Caratteristiche componente'!$C8="aria",'Caratteristiche componente'!$C8="intercapedine d'aria"),0.01,$C8/100*$E8),0)</f>
        <v>0</v>
      </c>
      <c r="K8" s="160">
        <f t="shared" si="3"/>
        <v>2</v>
      </c>
      <c r="L8" s="160">
        <f t="shared" si="4"/>
        <v>0.5</v>
      </c>
      <c r="M8" s="161">
        <f t="shared" si="5"/>
        <v>189000</v>
      </c>
      <c r="N8" s="18"/>
      <c r="O8" s="162">
        <f>$M8*($K$22+$K$16+$K$15+$K$14+$K$13+$K$12+$K$11+$K$10+$K$9+$K8/2)</f>
        <v>342510</v>
      </c>
      <c r="P8" s="161">
        <f>$M8*($K$21+$K$7+$K8/2)</f>
        <v>218970</v>
      </c>
      <c r="Q8" s="18"/>
      <c r="R8" s="163">
        <f t="shared" si="6"/>
        <v>0.08092026376</v>
      </c>
      <c r="S8" s="164">
        <f t="shared" si="7"/>
        <v>3.707353215</v>
      </c>
      <c r="T8" s="164">
        <f t="shared" si="8"/>
        <v>-17.20878476</v>
      </c>
      <c r="U8" s="164">
        <f t="shared" si="9"/>
        <v>-10.9144833</v>
      </c>
      <c r="V8" s="164">
        <f t="shared" si="10"/>
        <v>-17.18806653</v>
      </c>
      <c r="W8" s="165">
        <f t="shared" si="11"/>
        <v>-10.92763945</v>
      </c>
      <c r="X8" s="163">
        <f t="shared" si="12"/>
        <v>-17.20878476</v>
      </c>
      <c r="Y8" s="164">
        <f t="shared" si="13"/>
        <v>-10.9144833</v>
      </c>
      <c r="Z8" s="164">
        <f t="shared" si="14"/>
        <v>20.37813089</v>
      </c>
      <c r="AA8" s="166">
        <f t="shared" si="15"/>
        <v>-147.6155341</v>
      </c>
      <c r="AB8" s="167">
        <f t="shared" si="16"/>
        <v>-9.841035606</v>
      </c>
      <c r="AC8" s="163">
        <f t="shared" si="17"/>
        <v>7.583767813</v>
      </c>
      <c r="AD8" s="164">
        <f t="shared" si="18"/>
        <v>-1.688651368</v>
      </c>
      <c r="AE8" s="164">
        <f t="shared" si="19"/>
        <v>7.769496617</v>
      </c>
      <c r="AF8" s="166">
        <f t="shared" si="20"/>
        <v>-12.55306517</v>
      </c>
      <c r="AG8" s="167">
        <f t="shared" si="21"/>
        <v>-0.8368710112</v>
      </c>
      <c r="AH8" s="163">
        <f t="shared" si="22"/>
        <v>11.60480723</v>
      </c>
      <c r="AI8" s="164">
        <f t="shared" si="23"/>
        <v>52.11742648</v>
      </c>
      <c r="AJ8" s="164">
        <f t="shared" si="24"/>
        <v>53.39379827</v>
      </c>
      <c r="AK8" s="166">
        <f t="shared" si="25"/>
        <v>77.44693483</v>
      </c>
      <c r="AL8" s="167">
        <f t="shared" si="26"/>
        <v>5.163128989</v>
      </c>
      <c r="AM8" s="168">
        <f t="shared" si="27"/>
        <v>-17.20878476</v>
      </c>
      <c r="AN8" s="164">
        <f t="shared" si="28"/>
        <v>-10.9144833</v>
      </c>
      <c r="AO8" s="164">
        <f t="shared" si="29"/>
        <v>20.37813089</v>
      </c>
      <c r="AP8" s="166">
        <f t="shared" si="30"/>
        <v>-147.6155341</v>
      </c>
      <c r="AQ8" s="167">
        <f t="shared" si="31"/>
        <v>-9.841035606</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3</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v>
      </c>
      <c r="H9" s="157" t="str">
        <f t="shared" si="1"/>
        <v>#DIV/0!</v>
      </c>
      <c r="I9" s="158">
        <f t="shared" si="2"/>
        <v>0</v>
      </c>
      <c r="J9" s="159">
        <f>IF($C9&gt;0,IF(OR('Caratteristiche componente'!$C9="intercapedine",'Caratteristiche componente'!$C9="aria",'Caratteristiche componente'!$C9="intercapedine d'aria"),0.01,$C9/100*$E9),0)</f>
        <v>0</v>
      </c>
      <c r="K9" s="160">
        <f t="shared" si="3"/>
        <v>0.75</v>
      </c>
      <c r="L9" s="160">
        <f t="shared" si="4"/>
        <v>1.333333333</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36</v>
      </c>
      <c r="J10" s="159">
        <f>IF($C10&gt;0,IF(OR('Caratteristiche componente'!$C10="intercapedine",'Caratteristiche componente'!$C10="aria",'Caratteristiche componente'!$C10="intercapedine d'aria"),0.01,$C10/100*$E10),0)</f>
        <v>0</v>
      </c>
      <c r="K10" s="160">
        <f t="shared" si="3"/>
        <v>0.02222222222</v>
      </c>
      <c r="L10" s="160">
        <f t="shared" si="4"/>
        <v>45</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37</v>
      </c>
      <c r="D17" s="188"/>
      <c r="E17" s="190"/>
      <c r="F17" s="190"/>
      <c r="G17" s="190"/>
      <c r="H17" s="191"/>
      <c r="I17" s="192">
        <f t="shared" ref="I17:K17" si="32">SUM(I$7:I$16)</f>
        <v>289</v>
      </c>
      <c r="J17" s="193">
        <f t="shared" si="32"/>
        <v>0.222</v>
      </c>
      <c r="K17" s="193">
        <f t="shared" si="32"/>
        <v>2.800793651</v>
      </c>
      <c r="L17" s="194">
        <f t="shared" si="4"/>
        <v>0.3570416549</v>
      </c>
      <c r="M17" s="195">
        <f>SUM(M$7:M$16)</f>
        <v>212520</v>
      </c>
      <c r="N17" s="18"/>
      <c r="O17" s="196">
        <f t="shared" ref="O17:P17" si="33">SUM(O$7:O$16)</f>
        <v>408989.4667</v>
      </c>
      <c r="P17" s="197">
        <f t="shared" si="33"/>
        <v>222363.6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2.970793651</v>
      </c>
      <c r="L26" s="216">
        <f>1/$K$26</f>
        <v>0.3366103868</v>
      </c>
      <c r="M26" s="18"/>
      <c r="N26" s="217">
        <f>M17*K26/3600</f>
        <v>175.3758519</v>
      </c>
      <c r="O26" s="218">
        <f>$O$17/3600</f>
        <v>113.6081852</v>
      </c>
      <c r="P26" s="219">
        <f>$P$17/3600</f>
        <v>61.76766667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212.52</v>
      </c>
      <c r="O30" s="218">
        <f t="shared" ref="O30:P30" si="75">O$17/$K$26/1000</f>
        <v>137.6701026</v>
      </c>
      <c r="P30" s="219">
        <f t="shared" si="75"/>
        <v>74.84989741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-17.20878476</v>
      </c>
      <c r="M3" s="249">
        <f>'Calcoli componente'!$Y$8</f>
        <v>-10.9144833</v>
      </c>
      <c r="N3" s="249">
        <f>'Calcoli componente'!$AC$8</f>
        <v>7.583767813</v>
      </c>
      <c r="O3" s="250">
        <f>'Calcoli componente'!$AD$8</f>
        <v>-1.688651368</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10.9144833</v>
      </c>
      <c r="M4" s="249">
        <f>'Calcoli componente'!$X$8</f>
        <v>-17.20878476</v>
      </c>
      <c r="N4" s="249">
        <f>-'Calcoli componente'!$AD$8</f>
        <v>1.688651368</v>
      </c>
      <c r="O4" s="250">
        <f>'Calcoli componente'!$AC$8</f>
        <v>7.583767813</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11.60480723</v>
      </c>
      <c r="M5" s="249">
        <f>'Calcoli componente'!$AI$8</f>
        <v>52.11742648</v>
      </c>
      <c r="N5" s="249">
        <f>'Calcoli componente'!$AM$8</f>
        <v>-17.20878476</v>
      </c>
      <c r="O5" s="250">
        <f>'Calcoli componente'!$AN$8</f>
        <v>-10.9144833</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-52.11742648</v>
      </c>
      <c r="M6" s="254">
        <f>'Calcoli componente'!$AH$8</f>
        <v>11.60480723</v>
      </c>
      <c r="N6" s="254">
        <f>-'Calcoli componente'!$AN$8</f>
        <v>10.9144833</v>
      </c>
      <c r="O6" s="255">
        <f>'Calcoli componente'!$AM$8</f>
        <v>-17.20878476</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-19.72298261</v>
      </c>
      <c r="K9" s="249">
        <v>-24.32859940615622</v>
      </c>
      <c r="L9" s="249">
        <v>8.113404299694738</v>
      </c>
      <c r="M9" s="250">
        <v>-1.187337329070595</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24.328599406156215</v>
      </c>
      <c r="K10" s="249">
        <v>-19.722982610571552</v>
      </c>
      <c r="L10" s="249">
        <v>1.1873373290705953</v>
      </c>
      <c r="M10" s="250">
        <v>8.113404299694738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-8.577553995053552</v>
      </c>
      <c r="K11" s="249">
        <v>81.67745605866503</v>
      </c>
      <c r="L11" s="249">
        <v>-17.259814054740694</v>
      </c>
      <c r="M11" s="250">
        <v>-12.825624615560352</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-81.67745605866503</v>
      </c>
      <c r="K12" s="254">
        <v>-8.577553995053552</v>
      </c>
      <c r="L12" s="254">
        <v>12.825624615560352</v>
      </c>
      <c r="M12" s="255">
        <v>-17.259814054740694</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18.41464667</v>
      </c>
      <c r="L7" s="309" t="str">
        <f t="shared" si="1"/>
        <v>#NAME?</v>
      </c>
      <c r="M7" s="309">
        <f>M6</f>
        <v>1389.18</v>
      </c>
      <c r="N7" s="309">
        <v>0.0</v>
      </c>
      <c r="O7" s="309" t="str">
        <f>IF(AND(N7&gt;0,N7=MAX(N$7:N$17)),1,0)</f>
        <v>#NAME?</v>
      </c>
      <c r="P7" s="309">
        <f>M7</f>
        <v>1389.18</v>
      </c>
      <c r="Q7" s="250" t="str">
        <f>0.0000000002*(P7-P8)/($J8-$J7)</f>
        <v>#NAME?</v>
      </c>
      <c r="R7" s="352">
        <f>R6-(R$6-R$18)*0.25/$G$19</f>
        <v>18.64112572</v>
      </c>
      <c r="S7" s="309" t="str">
        <f t="shared" si="2"/>
        <v>#NAME?</v>
      </c>
      <c r="T7" s="309">
        <f>T6</f>
        <v>1354.44</v>
      </c>
      <c r="U7" s="309">
        <v>0.0</v>
      </c>
      <c r="V7" s="309" t="str">
        <f>IF(AND(U7&gt;0,U7=MAX(U$7:U$17)),1,0)</f>
        <v>#NAME?</v>
      </c>
      <c r="W7" s="309">
        <f>T7</f>
        <v>1354.44</v>
      </c>
      <c r="X7" s="250" t="str">
        <f>0.0000000002*(W7-W8)/($J8-$J7)</f>
        <v>#NAME?</v>
      </c>
      <c r="Y7" s="352">
        <f>Y6-(Y$6-Y$18)*0.25/$G$19</f>
        <v>19.04555259</v>
      </c>
      <c r="Z7" s="309" t="str">
        <f t="shared" si="3"/>
        <v>#NAME?</v>
      </c>
      <c r="AA7" s="309">
        <f>AA6</f>
        <v>1108.69</v>
      </c>
      <c r="AB7" s="309">
        <v>0.0</v>
      </c>
      <c r="AC7" s="309" t="str">
        <f>IF(AND(AB7&gt;0,AB7=MAX(AB$7:AB$17)),1,0)</f>
        <v>#NAME?</v>
      </c>
      <c r="AD7" s="309">
        <f>AA7</f>
        <v>1108.69</v>
      </c>
      <c r="AE7" s="250" t="str">
        <f>0.0000000002*(AD7-AD8)/($J8-$J7)</f>
        <v>#NAME?</v>
      </c>
      <c r="AF7" s="352">
        <f>AF6-(AF$6-AF$18)*0.25/$G$19</f>
        <v>19.40953677</v>
      </c>
      <c r="AG7" s="309" t="str">
        <f t="shared" si="4"/>
        <v>#NAME?</v>
      </c>
      <c r="AH7" s="309">
        <f>AH6</f>
        <v>1129.215</v>
      </c>
      <c r="AI7" s="309">
        <v>0.0</v>
      </c>
      <c r="AJ7" s="309" t="str">
        <f>IF(AND(AI7&gt;0,AI7=MAX(AI$7:AI$17)),1,0)</f>
        <v>#NAME?</v>
      </c>
      <c r="AK7" s="309">
        <f>AH7</f>
        <v>1129.215</v>
      </c>
      <c r="AL7" s="250" t="str">
        <f>0.0000000002*(AK7-AK8)/($J8-$J7)</f>
        <v>#NAME?</v>
      </c>
      <c r="AM7" s="352">
        <f>AM6-(AM$6-AM$18)*0.25/$G$19</f>
        <v>19.73307827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19.90293755</v>
      </c>
      <c r="BP7" s="309" t="str">
        <f t="shared" si="9"/>
        <v>#NAME?</v>
      </c>
      <c r="BQ7" s="309">
        <f>BQ6</f>
        <v>1557.46</v>
      </c>
      <c r="BR7" s="309">
        <v>0.0</v>
      </c>
      <c r="BS7" s="309" t="str">
        <f>IF(AND(BR7&gt;0,BR7=MAX(BR$7:BR$17)),1,0)</f>
        <v>#NAME?</v>
      </c>
      <c r="BT7" s="309">
        <f>BQ7</f>
        <v>1557.46</v>
      </c>
      <c r="BU7" s="250" t="str">
        <f>0.0000000002*(BT7-BT8)/($J8-$J7)</f>
        <v>#NAME?</v>
      </c>
      <c r="BV7" s="352">
        <f>BV6-(BV$6-BV$18)*0.25/$G$19</f>
        <v>19.40144823</v>
      </c>
      <c r="BW7" s="309" t="str">
        <f t="shared" si="10"/>
        <v>#NAME?</v>
      </c>
      <c r="BX7" s="309">
        <f>BX6</f>
        <v>1509.67</v>
      </c>
      <c r="BY7" s="309">
        <v>0.0</v>
      </c>
      <c r="BZ7" s="309" t="str">
        <f>IF(AND(BY7&gt;0,BY7=MAX(BY$7:BY$17)),1,0)</f>
        <v>#NAME?</v>
      </c>
      <c r="CA7" s="309">
        <f>BX7</f>
        <v>1509.67</v>
      </c>
      <c r="CB7" s="250" t="str">
        <f>0.0000000002*(CA7-CA8)/($J8-$J7)</f>
        <v>#NAME?</v>
      </c>
      <c r="CC7" s="352">
        <f>CC6-(CC$6-CC$18)*0.25/$G$19</f>
        <v>18.93231306</v>
      </c>
      <c r="CD7" s="309" t="str">
        <f t="shared" si="11"/>
        <v>#NAME?</v>
      </c>
      <c r="CE7" s="309">
        <f>CE6</f>
        <v>1429.06</v>
      </c>
      <c r="CF7" s="309">
        <v>0.0</v>
      </c>
      <c r="CG7" s="309" t="str">
        <f>IF(AND(CF7&gt;0,CF7=MAX(CF$7:CF$17)),1,0)</f>
        <v>#NAME?</v>
      </c>
      <c r="CH7" s="309">
        <f>CE7</f>
        <v>1429.06</v>
      </c>
      <c r="CI7" s="250" t="str">
        <f>0.0000000002*(CH7-CH8)/($J8-$J7)</f>
        <v>#NAME?</v>
      </c>
      <c r="CJ7" s="352">
        <f>CJ6-(CJ$6-CJ$18)*0.25/$G$19</f>
        <v>18.54406327</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alveolato</v>
      </c>
      <c r="C8" s="354">
        <f>'Calcoli componente'!C8</f>
        <v>30</v>
      </c>
      <c r="D8" s="308" t="str">
        <f>'Calcoli componente'!E8</f>
        <v/>
      </c>
      <c r="E8" s="355">
        <f>'Calcoli componente'!G8</f>
        <v>0.15</v>
      </c>
      <c r="F8" s="356">
        <f>'Calcoli componente'!J8</f>
        <v>0</v>
      </c>
      <c r="G8" s="357">
        <f>'Calcoli componente'!K8</f>
        <v>2</v>
      </c>
      <c r="H8" s="282"/>
      <c r="I8" s="328" t="s">
        <v>368</v>
      </c>
      <c r="J8" s="351">
        <f t="shared" ref="J8:J17" si="13">J7+F7</f>
        <v>0.222</v>
      </c>
      <c r="K8" s="352">
        <f t="shared" ref="K8:K17" si="14">K7-(K$6-K$18)*$G7/$G$19</f>
        <v>18.23346343</v>
      </c>
      <c r="L8" s="309" t="str">
        <f t="shared" si="1"/>
        <v>#NAME?</v>
      </c>
      <c r="M8" s="309">
        <f t="shared" ref="M8:M16" si="15">M$7-(M$7-M$17)*$J8/$F$17</f>
        <v>516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18.4858258</v>
      </c>
      <c r="S8" s="309" t="str">
        <f t="shared" si="2"/>
        <v>#NAME?</v>
      </c>
      <c r="T8" s="309">
        <f t="shared" ref="T8:T16" si="20">T$7-(T$7-T$17)*$J8/$F$17</f>
        <v>606</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18.93647288</v>
      </c>
      <c r="Z8" s="309" t="str">
        <f t="shared" si="3"/>
        <v>#NAME?</v>
      </c>
      <c r="AA8" s="309">
        <f t="shared" ref="AA8:AA16" si="25">AA$7-(AA$7-AA$17)*$J8/$F$17</f>
        <v>583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19.34205526</v>
      </c>
      <c r="AG8" s="309" t="str">
        <f t="shared" si="4"/>
        <v>#NAME?</v>
      </c>
      <c r="AH8" s="309">
        <f t="shared" ref="AH8:AH16" si="30">AH$7-(AH$7-AH$17)*$J8/$F$17</f>
        <v>804</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19.70257293</v>
      </c>
      <c r="AN8" s="309" t="str">
        <f t="shared" si="5"/>
        <v>#NAME?</v>
      </c>
      <c r="AO8" s="309">
        <f t="shared" ref="AO8:AO16" si="35">AO$7-(AO$7-AO$17)*$J8/$F$17</f>
        <v>1235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19.8918447</v>
      </c>
      <c r="BP8" s="309" t="str">
        <f t="shared" si="9"/>
        <v>#NAME?</v>
      </c>
      <c r="BQ8" s="309">
        <f t="shared" ref="BQ8:BQ16" si="55">BQ$7-(BQ$7-BQ$17)*$J8/$F$17</f>
        <v>1504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19.33304232</v>
      </c>
      <c r="BW8" s="309" t="str">
        <f t="shared" si="10"/>
        <v>#NAME?</v>
      </c>
      <c r="BX8" s="309">
        <f t="shared" ref="BX8:BX16" si="60">BX$7-(BX$7-BX$17)*$J8/$F$17</f>
        <v>1180</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18.8102917</v>
      </c>
      <c r="CD8" s="309" t="str">
        <f t="shared" si="11"/>
        <v>#NAME?</v>
      </c>
      <c r="CE8" s="309">
        <f t="shared" ref="CE8:CE16" si="65">CE$7-(CE$7-CE$17)*$J8/$F$17</f>
        <v>841</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18.3776705</v>
      </c>
      <c r="CK8" s="309" t="str">
        <f t="shared" si="12"/>
        <v>#NAME?</v>
      </c>
      <c r="CL8" s="309">
        <f t="shared" ref="CL8:CL16" si="70">CL$7-(CL$7-CL$17)*$J8/$F$17</f>
        <v>606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3</v>
      </c>
      <c r="D9" s="308" t="str">
        <f>'Calcoli componente'!E9</f>
        <v/>
      </c>
      <c r="E9" s="355">
        <f>'Calcoli componente'!G9</f>
        <v>0.04</v>
      </c>
      <c r="F9" s="356">
        <f>'Calcoli componente'!J9</f>
        <v>0</v>
      </c>
      <c r="G9" s="357">
        <f>'Calcoli componente'!K9</f>
        <v>0.75</v>
      </c>
      <c r="H9" s="282"/>
      <c r="I9" s="328" t="s">
        <v>369</v>
      </c>
      <c r="J9" s="351">
        <f t="shared" si="13"/>
        <v>0.222</v>
      </c>
      <c r="K9" s="352">
        <f t="shared" si="14"/>
        <v>5.550636812</v>
      </c>
      <c r="L9" s="309" t="str">
        <f t="shared" si="1"/>
        <v>#NAME?</v>
      </c>
      <c r="M9" s="309">
        <f t="shared" si="15"/>
        <v>516</v>
      </c>
      <c r="N9" s="309" t="str">
        <f t="shared" si="16"/>
        <v>#NAME?</v>
      </c>
      <c r="O9" s="309" t="str">
        <f>IF(AND(N9&gt;0,N9=MAX(N$7:N$17)),3,0)</f>
        <v>#NAME?</v>
      </c>
      <c r="P9" s="309" t="str">
        <f t="shared" si="17"/>
        <v>#NAME?</v>
      </c>
      <c r="Q9" s="250" t="str">
        <f t="shared" si="18"/>
        <v>#NAME?</v>
      </c>
      <c r="R9" s="352">
        <f t="shared" si="19"/>
        <v>7.614831553</v>
      </c>
      <c r="S9" s="309" t="str">
        <f t="shared" si="2"/>
        <v>#NAME?</v>
      </c>
      <c r="T9" s="309">
        <f t="shared" si="20"/>
        <v>606</v>
      </c>
      <c r="U9" s="309" t="str">
        <f t="shared" si="21"/>
        <v>#NAME?</v>
      </c>
      <c r="V9" s="309" t="str">
        <f>IF(AND(U9&gt;0,U9=MAX(U$7:U$17)),3,0)</f>
        <v>#NAME?</v>
      </c>
      <c r="W9" s="309" t="str">
        <f t="shared" si="22"/>
        <v>#NAME?</v>
      </c>
      <c r="X9" s="250" t="str">
        <f t="shared" si="23"/>
        <v>#NAME?</v>
      </c>
      <c r="Y9" s="352">
        <f t="shared" si="24"/>
        <v>11.30089359</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14.61834942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17.56719906</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19.11534511</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14.54462818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10.26879622</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6.730176664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t="str">
        <f>'Calcoli componente'!E10</f>
        <v/>
      </c>
      <c r="E10" s="355">
        <f>'Calcoli componente'!G10</f>
        <v>0.9</v>
      </c>
      <c r="F10" s="356">
        <f>'Calcoli componente'!J10</f>
        <v>0</v>
      </c>
      <c r="G10" s="357">
        <f>'Calcoli componente'!K10</f>
        <v>0.02222222222</v>
      </c>
      <c r="H10" s="282"/>
      <c r="I10" s="328" t="s">
        <v>370</v>
      </c>
      <c r="J10" s="351">
        <f t="shared" si="13"/>
        <v>0.222</v>
      </c>
      <c r="K10" s="352">
        <f t="shared" si="14"/>
        <v>0.7945768283</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3.53820871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8.437551356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12.84695974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16.76643385</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18.82415776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12.74897288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7.065735415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2.362366475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0.222</v>
      </c>
      <c r="K11" s="352">
        <f t="shared" si="14"/>
        <v>0.6536565325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3.417419885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8.352711586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12.79447412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16.74270748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18.81552999</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12.69576828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6.97082991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2.232949877</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0.222</v>
      </c>
      <c r="K12" s="352">
        <f t="shared" si="14"/>
        <v>0.6536565325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3.417419885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8.352711586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12.79447412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16.74270748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18.81552999</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12.69576828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6.97082991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2.232949877</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0.222</v>
      </c>
      <c r="K13" s="352">
        <f t="shared" si="14"/>
        <v>0.6536565325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3.417419885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8.352711586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12.79447412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16.74270748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18.81552999</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12.69576828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6.97082991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2.232949877</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0.222</v>
      </c>
      <c r="K14" s="352">
        <f t="shared" si="14"/>
        <v>0.6536565325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3.417419885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8.352711586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12.79447412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16.74270748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18.81552999</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12.69576828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6.97082991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2.232949877</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0.222</v>
      </c>
      <c r="K15" s="352">
        <f t="shared" si="14"/>
        <v>0.6536565325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3.417419885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8.352711586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12.79447412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16.74270748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18.81552999</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12.69576828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6.97082991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2.232949877</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0.222</v>
      </c>
      <c r="K16" s="352">
        <f t="shared" si="14"/>
        <v>0.6536565325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3.417419885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8.352711586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12.79447412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16.74270748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18.81552999</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12.69576828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6.97082991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2.232949877</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37</v>
      </c>
      <c r="D17" s="363"/>
      <c r="E17" s="365"/>
      <c r="F17" s="366">
        <f t="shared" ref="F17:G17" si="74">SUM(F$7:F$16)</f>
        <v>0.222</v>
      </c>
      <c r="G17" s="367">
        <f t="shared" si="74"/>
        <v>2.800793651</v>
      </c>
      <c r="H17" s="282"/>
      <c r="I17" s="328" t="s">
        <v>377</v>
      </c>
      <c r="J17" s="351">
        <f t="shared" si="13"/>
        <v>0.222</v>
      </c>
      <c r="K17" s="352">
        <f t="shared" si="14"/>
        <v>0.6536565325</v>
      </c>
      <c r="L17" s="309" t="str">
        <f t="shared" si="1"/>
        <v>#NAME?</v>
      </c>
      <c r="M17" s="309">
        <f>M18</f>
        <v>516</v>
      </c>
      <c r="N17" s="309" t="str">
        <f t="shared" si="16"/>
        <v>#NAME?</v>
      </c>
      <c r="O17" s="309" t="str">
        <f>IF(AND(N17&gt;0,N17=MAX(N$7:N$17)),11,0)</f>
        <v>#NAME?</v>
      </c>
      <c r="P17" s="309">
        <f>M17</f>
        <v>516</v>
      </c>
      <c r="Q17" s="368"/>
      <c r="R17" s="352">
        <f t="shared" si="19"/>
        <v>3.417419885</v>
      </c>
      <c r="S17" s="309" t="str">
        <f t="shared" si="2"/>
        <v>#NAME?</v>
      </c>
      <c r="T17" s="309">
        <f>T18</f>
        <v>606</v>
      </c>
      <c r="U17" s="309" t="str">
        <f t="shared" si="21"/>
        <v>#NAME?</v>
      </c>
      <c r="V17" s="309" t="str">
        <f>IF(AND(U17&gt;0,U17=MAX(U$7:U$17)),11,0)</f>
        <v>#NAME?</v>
      </c>
      <c r="W17" s="309">
        <f>T17</f>
        <v>606</v>
      </c>
      <c r="X17" s="368"/>
      <c r="Y17" s="352">
        <f t="shared" si="24"/>
        <v>8.352711586</v>
      </c>
      <c r="Z17" s="309" t="str">
        <f t="shared" si="3"/>
        <v>#NAME?</v>
      </c>
      <c r="AA17" s="309">
        <f>AA18</f>
        <v>583</v>
      </c>
      <c r="AB17" s="309" t="str">
        <f t="shared" si="26"/>
        <v>#NAME?</v>
      </c>
      <c r="AC17" s="309" t="str">
        <f>IF(AND(AB17&gt;0,AB17=MAX(AB$7:AB$17)),11,0)</f>
        <v>#NAME?</v>
      </c>
      <c r="AD17" s="309">
        <f>AA17</f>
        <v>583</v>
      </c>
      <c r="AE17" s="368"/>
      <c r="AF17" s="352">
        <f t="shared" si="29"/>
        <v>12.79447412</v>
      </c>
      <c r="AG17" s="309" t="str">
        <f t="shared" si="4"/>
        <v>#NAME?</v>
      </c>
      <c r="AH17" s="309">
        <f>AH18</f>
        <v>804</v>
      </c>
      <c r="AI17" s="309" t="str">
        <f t="shared" si="31"/>
        <v>#NAME?</v>
      </c>
      <c r="AJ17" s="309" t="str">
        <f>IF(AND(AI17&gt;0,AI17=MAX(AI$7:AI$17)),11,0)</f>
        <v>#NAME?</v>
      </c>
      <c r="AK17" s="309">
        <f>AH17</f>
        <v>804</v>
      </c>
      <c r="AL17" s="368"/>
      <c r="AM17" s="352">
        <f t="shared" si="34"/>
        <v>16.74270748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18.81552999</v>
      </c>
      <c r="BP17" s="309" t="str">
        <f t="shared" si="9"/>
        <v>#NAME?</v>
      </c>
      <c r="BQ17" s="309">
        <f>BQ18</f>
        <v>1504</v>
      </c>
      <c r="BR17" s="309" t="str">
        <f t="shared" si="56"/>
        <v>#NAME?</v>
      </c>
      <c r="BS17" s="309" t="str">
        <f>IF(AND(BR17&gt;0,BR17=MAX(BR$7:BR$17)),11,0)</f>
        <v>#NAME?</v>
      </c>
      <c r="BT17" s="309">
        <f>BQ17</f>
        <v>1504</v>
      </c>
      <c r="BU17" s="368"/>
      <c r="BV17" s="352">
        <f t="shared" si="59"/>
        <v>12.69576828</v>
      </c>
      <c r="BW17" s="309" t="str">
        <f t="shared" si="10"/>
        <v>#NAME?</v>
      </c>
      <c r="BX17" s="309">
        <f>BX18</f>
        <v>1180</v>
      </c>
      <c r="BY17" s="309" t="str">
        <f t="shared" si="61"/>
        <v>#NAME?</v>
      </c>
      <c r="BZ17" s="309" t="str">
        <f>IF(AND(BY17&gt;0,BY17=MAX(BY$7:BY$17)),11,0)</f>
        <v>#NAME?</v>
      </c>
      <c r="CA17" s="309">
        <f>BX17</f>
        <v>1180</v>
      </c>
      <c r="CB17" s="368"/>
      <c r="CC17" s="352">
        <f t="shared" si="64"/>
        <v>6.97082991</v>
      </c>
      <c r="CD17" s="309" t="str">
        <f t="shared" si="11"/>
        <v>#NAME?</v>
      </c>
      <c r="CE17" s="309">
        <f>CE18</f>
        <v>841</v>
      </c>
      <c r="CF17" s="309" t="str">
        <f t="shared" si="66"/>
        <v>#NAME?</v>
      </c>
      <c r="CG17" s="309" t="str">
        <f>IF(AND(CF17&gt;0,CF17=MAX(CF$7:CF$17)),11,0)</f>
        <v>#NAME?</v>
      </c>
      <c r="CH17" s="309">
        <f>CE17</f>
        <v>841</v>
      </c>
      <c r="CI17" s="368"/>
      <c r="CJ17" s="352">
        <f t="shared" si="69"/>
        <v>2.232949877</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3.090793651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0.9191146261</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0.222</v>
      </c>
      <c r="F32" s="387">
        <f t="shared" si="80"/>
        <v>0.222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0.222</v>
      </c>
      <c r="F33" s="387">
        <f t="shared" si="80"/>
        <v>0.222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0.222</v>
      </c>
      <c r="F34" s="387">
        <f t="shared" si="80"/>
        <v>0.222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0.222</v>
      </c>
      <c r="F35" s="387">
        <f t="shared" si="80"/>
        <v>0.222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0.222</v>
      </c>
      <c r="F36" s="387">
        <f t="shared" si="80"/>
        <v>0.222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0.222</v>
      </c>
      <c r="F37" s="387">
        <f t="shared" si="80"/>
        <v>0.222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0.222</v>
      </c>
      <c r="F38" s="387">
        <f t="shared" si="80"/>
        <v>0.222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0.222</v>
      </c>
      <c r="F39" s="387">
        <f t="shared" si="80"/>
        <v>0.222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0.222</v>
      </c>
      <c r="F40" s="315">
        <f t="shared" si="80"/>
        <v>0.222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0.3366103868</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32</v>
      </c>
      <c r="C6" s="426">
        <f>C5+'Caratteristiche componente'!$D8</f>
        <v>32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35</v>
      </c>
      <c r="C7" s="426">
        <f>C6+'Caratteristiche componente'!$D9</f>
        <v>35</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37</v>
      </c>
      <c r="C8" s="426">
        <f>C7+'Caratteristiche componente'!$D10</f>
        <v>37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37</v>
      </c>
      <c r="C9" s="426">
        <f>C8+'Caratteristiche componente'!$D11</f>
        <v>37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37</v>
      </c>
      <c r="C10" s="426">
        <f>C9+'Caratteristiche componente'!$D12</f>
        <v>37</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37</v>
      </c>
      <c r="C11" s="426">
        <f>C10+'Caratteristiche componente'!$D13</f>
        <v>37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37</v>
      </c>
      <c r="C12" s="426">
        <f>C11+'Caratteristiche componente'!$D14</f>
        <v>37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37</v>
      </c>
      <c r="C13" s="426">
        <f>C12+'Caratteristiche componente'!$D15</f>
        <v>37</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37</v>
      </c>
      <c r="C14" s="426">
        <f>C13+'Caratteristiche componente'!$D16</f>
        <v>37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