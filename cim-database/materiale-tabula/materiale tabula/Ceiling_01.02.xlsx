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localSheetId="9" name="OLE_LINK1">Materiali!$C$2</definedName>
    <definedName name="ngiorni">#REF!</definedName>
    <definedName name="tsat">#REF!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<sst xmlns="http://schemas.openxmlformats.org/spreadsheetml/2006/main" count="1623" uniqueCount="658">
  <si>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</si>
  <si>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</si>
  <si>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</si>
  <si>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</si>
  <si>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</si>
  <si>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</si>
  <si>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</si>
  <si>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</si>
  <si>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</si>
  <si>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</si>
  <si>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</si>
  <si>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</si>
  <si>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</si>
  <si>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</si>
  <si>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</si>
  <si>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</si>
  <si>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</si>
  <si>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</si>
  <si>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</si>
  <si>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</si>
  <si>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</si>
  <si>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</si>
  <si>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</si>
  <si>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</si>
  <si>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</si>
  <si>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</si>
  <si>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</si>
  <si>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</si>
  <si>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</si>
  <si>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</si>
  <si>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</si>
  <si>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</si>
  <si>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</si>
  <si>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</si>
  <si>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</si>
  <si>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</si>
  <si>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</si>
  <si>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</si>
  <si>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</si>
  <si>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tavella</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</si>
  <si>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</si>
  <si>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</si>
  <si>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</si>
  <si>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piastrelle</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</si>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</sst>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004009091"/>
        <c:axId val="1020309989"/>
      </c:scatterChart>
      <c:valAx>
        <c:axId val="100400909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0309989"/>
      </c:valAx>
      <c:valAx>
        <c:axId val="102030998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400909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89880538"/>
        <c:axId val="1079394065"/>
      </c:scatterChart>
      <c:valAx>
        <c:axId val="188988053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9394065"/>
      </c:valAx>
      <c:valAx>
        <c:axId val="107939406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988053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74628786"/>
        <c:axId val="1033384472"/>
      </c:scatterChart>
      <c:valAx>
        <c:axId val="137462878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3384472"/>
      </c:valAx>
      <c:valAx>
        <c:axId val="103338447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462878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49799755"/>
        <c:axId val="623263564"/>
      </c:scatterChart>
      <c:valAx>
        <c:axId val="144979975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3263564"/>
      </c:valAx>
      <c:valAx>
        <c:axId val="623263564"/>
        <c:scaling>
          <c:orientation val="minMax"/>
        </c:scaling>
        <c:delete val="0"/>
        <c:axPos val="l"/>
        <c:tickLblPos val="nextTo"/>
        <c:spPr>
          <a:ln>
            <a:noFill/>
          </a:ln>
        </c:spPr>
        <c:crossAx val="144979975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777599785"/>
        <c:axId val="1267413669"/>
      </c:scatterChart>
      <c:valAx>
        <c:axId val="177759978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67413669"/>
      </c:valAx>
      <c:valAx>
        <c:axId val="1267413669"/>
        <c:scaling>
          <c:orientation val="minMax"/>
        </c:scaling>
        <c:delete val="0"/>
        <c:axPos val="l"/>
        <c:tickLblPos val="nextTo"/>
        <c:spPr>
          <a:ln>
            <a:noFill/>
          </a:ln>
        </c:spPr>
        <c:crossAx val="177759978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662843734"/>
        <c:axId val="1092405824"/>
      </c:scatterChart>
      <c:valAx>
        <c:axId val="16628437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2405824"/>
      </c:valAx>
      <c:valAx>
        <c:axId val="109240582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284373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6.0</v>
      </c>
      <c r="E7" s="60"/>
      <c r="F7" s="61"/>
      <c r="G7" s="62"/>
      <c r="H7" s="63">
        <v>0.75</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1.0</v>
      </c>
      <c r="E8" s="74"/>
      <c r="F8" s="75"/>
      <c r="G8" s="76"/>
      <c r="H8" s="77">
        <v>1.0</v>
      </c>
      <c r="I8" s="78"/>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0.35</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2.857142857</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t="str">
        <f>'Calcoli componente'!$L$33</f>
        <v>#DIV/0!</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7</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0</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tavella</v>
      </c>
      <c r="C7" s="140">
        <f>'Caratteristiche componente'!D7</f>
        <v>6</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0.75</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0.08</v>
      </c>
      <c r="L7" s="147">
        <f t="shared" ref="L7:L17" si="4">IF($C7&gt;0,1/$K7,"")</f>
        <v>12.5</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piastrelle</v>
      </c>
      <c r="C8" s="156">
        <f>'Caratteristiche componente'!D8</f>
        <v>1</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1</v>
      </c>
      <c r="H8" s="157" t="str">
        <f t="shared" si="1"/>
        <v>#DIV/0!</v>
      </c>
      <c r="I8" s="158">
        <f t="shared" si="2"/>
        <v>0</v>
      </c>
      <c r="J8" s="159">
        <f>IF($C8&gt;0,IF(OR('Caratteristiche componente'!$C8="intercapedine",'Caratteristiche componente'!$C8="aria",'Caratteristiche componente'!$C8="intercapedine d'aria"),0.01,$C8/100*$E8),0)</f>
        <v>0</v>
      </c>
      <c r="K8" s="160">
        <f t="shared" si="3"/>
        <v>0.01</v>
      </c>
      <c r="L8" s="160">
        <f t="shared" si="4"/>
        <v>100</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7</v>
      </c>
      <c r="D17" s="188"/>
      <c r="E17" s="190"/>
      <c r="F17" s="190"/>
      <c r="G17" s="190"/>
      <c r="H17" s="191"/>
      <c r="I17" s="192">
        <f t="shared" ref="I17:K17" si="32">SUM(I$7:I$16)</f>
        <v>0</v>
      </c>
      <c r="J17" s="193">
        <f t="shared" si="32"/>
        <v>0</v>
      </c>
      <c r="K17" s="193">
        <f t="shared" si="32"/>
        <v>0.09</v>
      </c>
      <c r="L17" s="194">
        <f t="shared" si="4"/>
        <v>11.11111111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0.35</v>
      </c>
      <c r="L26" s="216">
        <f>1/$K$26</f>
        <v>2.857142857</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155</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tavella</v>
      </c>
      <c r="C7" s="346">
        <f>'Calcoli componente'!C7</f>
        <v>6</v>
      </c>
      <c r="D7" s="347" t="str">
        <f>'Calcoli componente'!E7</f>
        <v/>
      </c>
      <c r="E7" s="348">
        <f>'Calcoli componente'!G7</f>
        <v>0.75</v>
      </c>
      <c r="F7" s="349">
        <f>'Calcoli componente'!J7</f>
        <v>0</v>
      </c>
      <c r="G7" s="350">
        <f>'Calcoli componente'!K7</f>
        <v>0.08</v>
      </c>
      <c r="H7" s="282"/>
      <c r="I7" s="328" t="s">
        <v>365</v>
      </c>
      <c r="J7" s="351">
        <f>0</f>
        <v>0</v>
      </c>
      <c r="K7" s="352">
        <f>K6-(K$6-K$18)*0.25/$G$19</f>
        <v>7.105263158</v>
      </c>
      <c r="L7" s="309" t="str">
        <f t="shared" si="1"/>
        <v>#NAME?</v>
      </c>
      <c r="M7" s="309">
        <f>M6</f>
        <v>1389.18</v>
      </c>
      <c r="N7" s="309">
        <v>0.0</v>
      </c>
      <c r="O7" s="309" t="str">
        <f>IF(AND(N7&gt;0,N7=MAX(N$7:N$17)),1,0)</f>
        <v>#DIV/0!</v>
      </c>
      <c r="P7" s="309">
        <f>M7</f>
        <v>1389.18</v>
      </c>
      <c r="Q7" s="250" t="str">
        <f>0.0000000002*(P7-P8)/($J8-$J7)</f>
        <v>#DIV/0!</v>
      </c>
      <c r="R7" s="352">
        <f>R6-(R$6-R$18)*0.25/$G$19</f>
        <v>8.947368421</v>
      </c>
      <c r="S7" s="309" t="str">
        <f t="shared" si="2"/>
        <v>#NAME?</v>
      </c>
      <c r="T7" s="309">
        <f>T6</f>
        <v>1354.44</v>
      </c>
      <c r="U7" s="309">
        <v>0.0</v>
      </c>
      <c r="V7" s="309" t="str">
        <f>IF(AND(U7&gt;0,U7=MAX(U$7:U$17)),1,0)</f>
        <v>#DIV/0!</v>
      </c>
      <c r="W7" s="309">
        <f>T7</f>
        <v>1354.44</v>
      </c>
      <c r="X7" s="250" t="str">
        <f>0.0000000002*(W7-W8)/($J8-$J7)</f>
        <v>#DIV/0!</v>
      </c>
      <c r="Y7" s="352">
        <f>Y6-(Y$6-Y$18)*0.25/$G$19</f>
        <v>12.23684211</v>
      </c>
      <c r="Z7" s="309" t="str">
        <f t="shared" si="3"/>
        <v>#NAME?</v>
      </c>
      <c r="AA7" s="309">
        <f>AA6</f>
        <v>1108.69</v>
      </c>
      <c r="AB7" s="309">
        <v>0.0</v>
      </c>
      <c r="AC7" s="309" t="str">
        <f>IF(AND(AB7&gt;0,AB7=MAX(AB$7:AB$17)),1,0)</f>
        <v>#DIV/0!</v>
      </c>
      <c r="AD7" s="309">
        <f>AA7</f>
        <v>1108.69</v>
      </c>
      <c r="AE7" s="250" t="str">
        <f>0.0000000002*(AD7-AD8)/($J8-$J7)</f>
        <v>#DIV/0!</v>
      </c>
      <c r="AF7" s="352">
        <f>AF6-(AF$6-AF$18)*0.25/$G$19</f>
        <v>15.19736842</v>
      </c>
      <c r="AG7" s="309" t="str">
        <f t="shared" si="4"/>
        <v>#NAME?</v>
      </c>
      <c r="AH7" s="309">
        <f>AH6</f>
        <v>1129.215</v>
      </c>
      <c r="AI7" s="309">
        <v>0.0</v>
      </c>
      <c r="AJ7" s="309" t="str">
        <f>IF(AND(AI7&gt;0,AI7=MAX(AI$7:AI$17)),1,0)</f>
        <v>#DIV/0!</v>
      </c>
      <c r="AK7" s="309">
        <f>AH7</f>
        <v>1129.215</v>
      </c>
      <c r="AL7" s="250" t="str">
        <f>0.0000000002*(AK7-AK8)/($J8-$J7)</f>
        <v>#DIV/0!</v>
      </c>
      <c r="AM7" s="352">
        <f>AM6-(AM$6-AM$18)*0.25/$G$19</f>
        <v>17.82894737</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19.21052632</v>
      </c>
      <c r="BP7" s="309" t="str">
        <f t="shared" si="9"/>
        <v>#NAME?</v>
      </c>
      <c r="BQ7" s="309">
        <f>BQ6</f>
        <v>1557.46</v>
      </c>
      <c r="BR7" s="309">
        <v>0.0</v>
      </c>
      <c r="BS7" s="309" t="str">
        <f>IF(AND(BR7&gt;0,BR7=MAX(BR$7:BR$17)),1,0)</f>
        <v>#DIV/0!</v>
      </c>
      <c r="BT7" s="309">
        <f>BQ7</f>
        <v>1557.46</v>
      </c>
      <c r="BU7" s="250" t="str">
        <f>0.0000000002*(BT7-BT8)/($J8-$J7)</f>
        <v>#DIV/0!</v>
      </c>
      <c r="BV7" s="352">
        <f>BV6-(BV$6-BV$18)*0.25/$G$19</f>
        <v>15.13157895</v>
      </c>
      <c r="BW7" s="309" t="str">
        <f t="shared" si="10"/>
        <v>#NAME?</v>
      </c>
      <c r="BX7" s="309">
        <f>BX6</f>
        <v>1509.67</v>
      </c>
      <c r="BY7" s="309">
        <v>0.0</v>
      </c>
      <c r="BZ7" s="309" t="str">
        <f>IF(AND(BY7&gt;0,BY7=MAX(BY$7:BY$17)),1,0)</f>
        <v>#DIV/0!</v>
      </c>
      <c r="CA7" s="309">
        <f>BX7</f>
        <v>1509.67</v>
      </c>
      <c r="CB7" s="250" t="str">
        <f>0.0000000002*(CA7-CA8)/($J8-$J7)</f>
        <v>#DIV/0!</v>
      </c>
      <c r="CC7" s="352">
        <f>CC6-(CC$6-CC$18)*0.25/$G$19</f>
        <v>11.31578947</v>
      </c>
      <c r="CD7" s="309" t="str">
        <f t="shared" si="11"/>
        <v>#NAME?</v>
      </c>
      <c r="CE7" s="309">
        <f>CE6</f>
        <v>1429.06</v>
      </c>
      <c r="CF7" s="309">
        <v>0.0</v>
      </c>
      <c r="CG7" s="309" t="str">
        <f>IF(AND(CF7&gt;0,CF7=MAX(CF$7:CF$17)),1,0)</f>
        <v>#DIV/0!</v>
      </c>
      <c r="CH7" s="309">
        <f>CE7</f>
        <v>1429.06</v>
      </c>
      <c r="CI7" s="250" t="str">
        <f>0.0000000002*(CH7-CH8)/($J8-$J7)</f>
        <v>#DIV/0!</v>
      </c>
      <c r="CJ7" s="352">
        <f>CJ6-(CJ$6-CJ$18)*0.25/$G$19</f>
        <v>8.157894737</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piastrelle</v>
      </c>
      <c r="C8" s="354">
        <f>'Calcoli componente'!C8</f>
        <v>1</v>
      </c>
      <c r="D8" s="308" t="str">
        <f>'Calcoli componente'!E8</f>
        <v/>
      </c>
      <c r="E8" s="355">
        <f>'Calcoli componente'!G8</f>
        <v>1</v>
      </c>
      <c r="F8" s="356">
        <f>'Calcoli componente'!J8</f>
        <v>0</v>
      </c>
      <c r="G8" s="357">
        <f>'Calcoli componente'!K8</f>
        <v>0.01</v>
      </c>
      <c r="H8" s="282"/>
      <c r="I8" s="328" t="s">
        <v>366</v>
      </c>
      <c r="J8" s="351">
        <f t="shared" ref="J8:J17" si="13">J7+F7</f>
        <v>0</v>
      </c>
      <c r="K8" s="352">
        <f t="shared" ref="K8:K17" si="14">K7-(K$6-K$18)*$G7/$G$19</f>
        <v>2.978947368</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5.410526316</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9.752631579</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13.66052632</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17.13421053</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18.95789474</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13.57368421</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8.536842105</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4.368421053</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0</v>
      </c>
      <c r="K9" s="352">
        <f t="shared" si="14"/>
        <v>2.463157895</v>
      </c>
      <c r="L9" s="309" t="str">
        <f t="shared" si="1"/>
        <v>#NAME?</v>
      </c>
      <c r="M9" s="309" t="str">
        <f t="shared" si="15"/>
        <v>#DIV/0!</v>
      </c>
      <c r="N9" s="309" t="str">
        <f t="shared" si="16"/>
        <v>#DIV/0!</v>
      </c>
      <c r="O9" s="309" t="str">
        <f>IF(AND(N9&gt;0,N9=MAX(N$7:N$17)),3,0)</f>
        <v>#DIV/0!</v>
      </c>
      <c r="P9" s="309">
        <f t="shared" si="17"/>
        <v>1389.18</v>
      </c>
      <c r="Q9" s="250" t="str">
        <f t="shared" si="18"/>
        <v>#DIV/0!</v>
      </c>
      <c r="R9" s="352">
        <f t="shared" si="19"/>
        <v>4.968421053</v>
      </c>
      <c r="S9" s="309" t="str">
        <f t="shared" si="2"/>
        <v>#NAME?</v>
      </c>
      <c r="T9" s="309" t="str">
        <f t="shared" si="20"/>
        <v>#DIV/0!</v>
      </c>
      <c r="U9" s="309" t="str">
        <f t="shared" si="21"/>
        <v>#DIV/0!</v>
      </c>
      <c r="V9" s="309" t="str">
        <f>IF(AND(U9&gt;0,U9=MAX(U$7:U$17)),3,0)</f>
        <v>#DIV/0!</v>
      </c>
      <c r="W9" s="309">
        <f t="shared" si="22"/>
        <v>1354.44</v>
      </c>
      <c r="X9" s="250" t="str">
        <f t="shared" si="23"/>
        <v>#DIV/0!</v>
      </c>
      <c r="Y9" s="352">
        <f t="shared" si="24"/>
        <v>9.442105263</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13.46842105</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17.04736842</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18.92631579</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13.37894737</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8.189473684</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3.894736842</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0</v>
      </c>
      <c r="K10" s="352">
        <f t="shared" si="14"/>
        <v>2.463157895</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4.968421053</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9.442105263</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13.46842105</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17.04736842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18.92631579</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13.37894737</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8.189473684</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3.894736842</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0</v>
      </c>
      <c r="K11" s="352">
        <f t="shared" si="14"/>
        <v>2.463157895</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4.968421053</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9.442105263</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13.46842105</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17.04736842</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18.92631579</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13.37894737</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8.189473684</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3.894736842</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0</v>
      </c>
      <c r="K12" s="352">
        <f t="shared" si="14"/>
        <v>2.463157895</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4.968421053</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9.442105263</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13.46842105</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17.04736842</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18.92631579</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13.37894737</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8.189473684</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3.894736842</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0</v>
      </c>
      <c r="K13" s="352">
        <f t="shared" si="14"/>
        <v>2.463157895</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4.968421053</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9.442105263</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13.46842105</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17.04736842</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18.92631579</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13.37894737</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8.189473684</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3.894736842</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0</v>
      </c>
      <c r="K14" s="352">
        <f t="shared" si="14"/>
        <v>2.463157895</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4.968421053</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9.442105263</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13.46842105</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17.04736842</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18.92631579</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13.37894737</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8.189473684</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3.894736842</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0</v>
      </c>
      <c r="K15" s="352">
        <f t="shared" si="14"/>
        <v>2.463157895</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4.968421053</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9.442105263</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13.46842105</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17.04736842</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18.92631579</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13.37894737</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8.189473684</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3.894736842</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0</v>
      </c>
      <c r="K16" s="352">
        <f t="shared" si="14"/>
        <v>2.463157895</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4.968421053</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9.442105263</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13.46842105</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17.04736842</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18.92631579</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13.37894737</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8.189473684</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3.894736842</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109</v>
      </c>
      <c r="B17" s="363"/>
      <c r="C17" s="364">
        <f>SUM(C$7:C$16)</f>
        <v>7</v>
      </c>
      <c r="D17" s="363"/>
      <c r="E17" s="365"/>
      <c r="F17" s="366">
        <f t="shared" ref="F17:G17" si="74">SUM(F$7:F$16)</f>
        <v>0</v>
      </c>
      <c r="G17" s="367">
        <f t="shared" si="74"/>
        <v>0.09</v>
      </c>
      <c r="H17" s="282"/>
      <c r="I17" s="328" t="s">
        <v>375</v>
      </c>
      <c r="J17" s="351">
        <f t="shared" si="13"/>
        <v>0</v>
      </c>
      <c r="K17" s="352">
        <f t="shared" si="14"/>
        <v>2.463157895</v>
      </c>
      <c r="L17" s="309" t="str">
        <f t="shared" si="1"/>
        <v>#NAME?</v>
      </c>
      <c r="M17" s="309">
        <f>M18</f>
        <v>516</v>
      </c>
      <c r="N17" s="309" t="str">
        <f t="shared" si="16"/>
        <v>#NAME?</v>
      </c>
      <c r="O17" s="309" t="str">
        <f>IF(AND(N17&gt;0,N17=MAX(N$7:N$17)),11,0)</f>
        <v>#NAME?</v>
      </c>
      <c r="P17" s="309">
        <f>M17</f>
        <v>516</v>
      </c>
      <c r="Q17" s="368"/>
      <c r="R17" s="352">
        <f t="shared" si="19"/>
        <v>4.968421053</v>
      </c>
      <c r="S17" s="309" t="str">
        <f t="shared" si="2"/>
        <v>#NAME?</v>
      </c>
      <c r="T17" s="309">
        <f>T18</f>
        <v>606</v>
      </c>
      <c r="U17" s="309" t="str">
        <f t="shared" si="21"/>
        <v>#NAME?</v>
      </c>
      <c r="V17" s="309" t="str">
        <f>IF(AND(U17&gt;0,U17=MAX(U$7:U$17)),11,0)</f>
        <v>#NAME?</v>
      </c>
      <c r="W17" s="309">
        <f>T17</f>
        <v>606</v>
      </c>
      <c r="X17" s="368"/>
      <c r="Y17" s="352">
        <f t="shared" si="24"/>
        <v>9.442105263</v>
      </c>
      <c r="Z17" s="309" t="str">
        <f t="shared" si="3"/>
        <v>#NAME?</v>
      </c>
      <c r="AA17" s="309">
        <f>AA18</f>
        <v>583</v>
      </c>
      <c r="AB17" s="309" t="str">
        <f t="shared" si="26"/>
        <v>#NAME?</v>
      </c>
      <c r="AC17" s="309" t="str">
        <f>IF(AND(AB17&gt;0,AB17=MAX(AB$7:AB$17)),11,0)</f>
        <v>#NAME?</v>
      </c>
      <c r="AD17" s="309">
        <f>AA17</f>
        <v>583</v>
      </c>
      <c r="AE17" s="368"/>
      <c r="AF17" s="352">
        <f t="shared" si="29"/>
        <v>13.46842105</v>
      </c>
      <c r="AG17" s="309" t="str">
        <f t="shared" si="4"/>
        <v>#NAME?</v>
      </c>
      <c r="AH17" s="309">
        <f>AH18</f>
        <v>804</v>
      </c>
      <c r="AI17" s="309" t="str">
        <f t="shared" si="31"/>
        <v>#NAME?</v>
      </c>
      <c r="AJ17" s="309" t="str">
        <f>IF(AND(AI17&gt;0,AI17=MAX(AI$7:AI$17)),11,0)</f>
        <v>#NAME?</v>
      </c>
      <c r="AK17" s="309">
        <f>AH17</f>
        <v>804</v>
      </c>
      <c r="AL17" s="368"/>
      <c r="AM17" s="352">
        <f t="shared" si="34"/>
        <v>17.04736842</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18.92631579</v>
      </c>
      <c r="BP17" s="309" t="str">
        <f t="shared" si="9"/>
        <v>#NAME?</v>
      </c>
      <c r="BQ17" s="309">
        <f>BQ18</f>
        <v>1504</v>
      </c>
      <c r="BR17" s="309" t="str">
        <f t="shared" si="56"/>
        <v>#NAME?</v>
      </c>
      <c r="BS17" s="309" t="str">
        <f>IF(AND(BR17&gt;0,BR17=MAX(BR$7:BR$17)),11,0)</f>
        <v>#NAME?</v>
      </c>
      <c r="BT17" s="309">
        <f>BQ17</f>
        <v>1504</v>
      </c>
      <c r="BU17" s="368"/>
      <c r="BV17" s="352">
        <f t="shared" si="59"/>
        <v>13.37894737</v>
      </c>
      <c r="BW17" s="309" t="str">
        <f t="shared" si="10"/>
        <v>#NAME?</v>
      </c>
      <c r="BX17" s="309">
        <f>BX18</f>
        <v>1180</v>
      </c>
      <c r="BY17" s="309" t="str">
        <f t="shared" si="61"/>
        <v>#NAME?</v>
      </c>
      <c r="BZ17" s="309" t="str">
        <f>IF(AND(BY17&gt;0,BY17=MAX(BY$7:BY$17)),11,0)</f>
        <v>#NAME?</v>
      </c>
      <c r="CA17" s="309">
        <f>BX17</f>
        <v>1180</v>
      </c>
      <c r="CB17" s="368"/>
      <c r="CC17" s="352">
        <f t="shared" si="64"/>
        <v>8.189473684</v>
      </c>
      <c r="CD17" s="309" t="str">
        <f t="shared" si="11"/>
        <v>#NAME?</v>
      </c>
      <c r="CE17" s="309">
        <f>CE18</f>
        <v>841</v>
      </c>
      <c r="CF17" s="309" t="str">
        <f t="shared" si="66"/>
        <v>#NAME?</v>
      </c>
      <c r="CG17" s="309" t="str">
        <f>IF(AND(CF17&gt;0,CF17=MAX(CF$7:CF$17)),11,0)</f>
        <v>#NAME?</v>
      </c>
      <c r="CH17" s="309">
        <f>CE17</f>
        <v>841</v>
      </c>
      <c r="CI17" s="368"/>
      <c r="CJ17" s="352">
        <f t="shared" si="69"/>
        <v>3.894736842</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0.38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0.3421052632</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654</v>
      </c>
      <c r="F4" s="428">
        <f>'Calcoli componente'!L26</f>
        <v>2.857142857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6</v>
      </c>
      <c r="C5" s="426">
        <f>C4+'Caratteristiche componente'!$D7</f>
        <v>6</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7</v>
      </c>
      <c r="C6" s="426">
        <f>C5+'Caratteristiche componente'!$D8</f>
        <v>7</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7</v>
      </c>
      <c r="C7" s="426">
        <f>C6+'Caratteristiche componente'!$D9</f>
        <v>7</v>
      </c>
      <c r="D7" s="395"/>
      <c r="E7" s="395" t="s">
        <v>655</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7</v>
      </c>
      <c r="C8" s="426">
        <f>C7+'Caratteristiche componente'!$D10</f>
        <v>7</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7</v>
      </c>
      <c r="C9" s="426">
        <f>C8+'Caratteristiche componente'!$D11</f>
        <v>7</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7</v>
      </c>
      <c r="C10" s="426">
        <f>C9+'Caratteristiche componente'!$D12</f>
        <v>7</v>
      </c>
      <c r="D10" s="395"/>
      <c r="E10" s="395" t="s">
        <v>656</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7</v>
      </c>
      <c r="C11" s="426">
        <f>C10+'Caratteristiche componente'!$D13</f>
        <v>7</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7</v>
      </c>
      <c r="C12" s="426">
        <f>C11+'Caratteristiche componente'!$D14</f>
        <v>7</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7</v>
      </c>
      <c r="C13" s="426">
        <f>C12+'Caratteristiche componente'!$D15</f>
        <v>7</v>
      </c>
      <c r="D13" s="395"/>
      <c r="E13" s="395" t="s">
        <v>657</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7</v>
      </c>
      <c r="C14" s="426">
        <f>C13+'Caratteristiche componente'!$D16</f>
        <v>7</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